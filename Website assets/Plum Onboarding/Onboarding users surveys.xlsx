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4"/>
    <sheet state="visible" name="Sheet9" sheetId="2" r:id="rId5"/>
    <sheet state="visible" name="Raw - no deposit" sheetId="3" r:id="rId6"/>
    <sheet state="visible" name="Raw data - churn" sheetId="4" r:id="rId7"/>
    <sheet state="visible" name="Bank linking analysis" sheetId="5" r:id="rId8"/>
    <sheet state="visible" name="Raw data - bank linking" sheetId="6" r:id="rId9"/>
    <sheet state="visible" name="archive analysis" sheetId="7" r:id="rId10"/>
    <sheet state="hidden" name="Churn analysis" sheetId="8" r:id="rId11"/>
    <sheet state="visible" name="archive raw data - bank linking" sheetId="9" r:id="rId12"/>
    <sheet state="visible" name="archive raw data - churn" sheetId="10" r:id="rId13"/>
  </sheets>
  <definedNames>
    <definedName hidden="1" localSheetId="0" name="_xlnm._FilterDatabase">Analysis!$A$1:$F$24</definedName>
    <definedName hidden="1" localSheetId="2" name="_xlnm._FilterDatabase">'Raw - no deposit'!$B$1:$AC$840</definedName>
    <definedName hidden="1" localSheetId="3" name="_xlnm._FilterDatabase">'Raw data - churn'!$A$2:$B$42</definedName>
    <definedName hidden="1" localSheetId="8" name="_xlnm._FilterDatabase">'archive raw data - bank linking'!$A$1:$A$998</definedName>
    <definedName hidden="1" localSheetId="9" name="_xlnm._FilterDatabase">'archive raw data - churn'!$A$2:$C$42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@talon.gregory@gmail.com added these on top of your categories as felt the need for it. below are the combined results of the two surveys. also the new survey is out to 11k users and starting to get some first responses already
	-Sia Georgieva</t>
      </text>
    </comment>
  </commentList>
</comments>
</file>

<file path=xl/sharedStrings.xml><?xml version="1.0" encoding="utf-8"?>
<sst xmlns="http://schemas.openxmlformats.org/spreadsheetml/2006/main" count="1932" uniqueCount="635">
  <si>
    <t>Related fundamental</t>
  </si>
  <si>
    <t>Reason to not convert</t>
  </si>
  <si>
    <t>%</t>
  </si>
  <si>
    <t>Combined results</t>
  </si>
  <si>
    <t>What prevent you from finish setting up your profile? 2023</t>
  </si>
  <si>
    <t>We’ve noticed you haven't used the Plum app yet. Can you tell us why? June 2024</t>
  </si>
  <si>
    <t>Effort</t>
  </si>
  <si>
    <t xml:space="preserve">Deposit - Bank not supported </t>
  </si>
  <si>
    <t>Deposit - Bank connection not working</t>
  </si>
  <si>
    <t>Deposit - Want to deposit actively an amount w/ bank connection</t>
  </si>
  <si>
    <t>UX - Asking info / bank access before I'm convinced</t>
  </si>
  <si>
    <t>Deposit - Don't want to give access to bank account data</t>
  </si>
  <si>
    <t>UX - Confusing / too complex</t>
  </si>
  <si>
    <t>Net Return</t>
  </si>
  <si>
    <t>Unexpected / poor interest rates</t>
  </si>
  <si>
    <t xml:space="preserve">Forgot about Plum </t>
  </si>
  <si>
    <t>Availability</t>
  </si>
  <si>
    <t>Customer not elligible for the service</t>
  </si>
  <si>
    <t>Deposit - Joint account not supported</t>
  </si>
  <si>
    <t>Missing CS support</t>
  </si>
  <si>
    <t xml:space="preserve">Login issues </t>
  </si>
  <si>
    <t>Capital security</t>
  </si>
  <si>
    <t xml:space="preserve">Concerned about money safety </t>
  </si>
  <si>
    <t>Financial confidence</t>
  </si>
  <si>
    <t>Lack of trust / bad reviews</t>
  </si>
  <si>
    <t>Crashes / bugs</t>
  </si>
  <si>
    <t>Poor verification xp</t>
  </si>
  <si>
    <t>Deposit - Can't transfer ISA</t>
  </si>
  <si>
    <t>Duplicate account due to loss of email access</t>
  </si>
  <si>
    <t>Deposit - Bank blocking usage</t>
  </si>
  <si>
    <t>Reached ISA limit elsewhere &amp; didn't know how to transfer</t>
  </si>
  <si>
    <t>Too expensive / Subscription fee</t>
  </si>
  <si>
    <t xml:space="preserve">Wants to use on web/desktop/tablet </t>
  </si>
  <si>
    <t>Other</t>
  </si>
  <si>
    <t>General - Changed mind / chose competitor</t>
  </si>
  <si>
    <t xml:space="preserve">Too early to say </t>
  </si>
  <si>
    <t>excluded</t>
  </si>
  <si>
    <t xml:space="preserve">Waiting on funds to start using Plum </t>
  </si>
  <si>
    <t>Converted</t>
  </si>
  <si>
    <t>TOTAL</t>
  </si>
  <si>
    <t>n/a (excluded from total of 343)</t>
  </si>
  <si>
    <t>-----</t>
  </si>
  <si>
    <t>Reliance on bank connection for deposit (grouped)</t>
  </si>
  <si>
    <t>Reasons to not convert by product fundamentals</t>
  </si>
  <si>
    <t>Net return</t>
  </si>
  <si>
    <t>Access speed</t>
  </si>
  <si>
    <t>Ration of income of this month vs the previous one</t>
  </si>
  <si>
    <t>Fundamental</t>
  </si>
  <si>
    <t xml:space="preserve">Reason </t>
  </si>
  <si>
    <t>Questions: We’ve noticed you haven't used the Plum app yet. Can you tell us why?</t>
  </si>
  <si>
    <t>June</t>
  </si>
  <si>
    <t>Because I don’t no what to do</t>
  </si>
  <si>
    <t>Changed mind / chose competitor</t>
  </si>
  <si>
    <t>Cancelled my application for an ISA</t>
  </si>
  <si>
    <t>Forgot about it</t>
  </si>
  <si>
    <t>Iv been poorly n been hospital</t>
  </si>
  <si>
    <t>I lost my phone with existing banking app. I have not yet reactivated app.</t>
  </si>
  <si>
    <t>...I closed my account weeks ago. I shouldn't even still be on your email list, per gdpr</t>
  </si>
  <si>
    <t>Deposit - Want to deposit actively an amount without permanent bank connection</t>
  </si>
  <si>
    <t>Before I invest a considerable sum in an ISA with a company I don’t know I need to be 100% sure in them. I wasn’t. Why do you need me to set up a Direct Debit for a one off investment? I was confused and had no confidence in the company.</t>
  </si>
  <si>
    <t>I don’t want all my accounts linked together.</t>
  </si>
  <si>
    <r>
      <rPr>
        <rFont val="Arial"/>
        <color theme="1"/>
      </rPr>
      <t xml:space="preserve">Deposit - Bank not supported (Co-op 8, BoI 3, </t>
    </r>
    <r>
      <rPr>
        <rFont val="Arial"/>
        <strike/>
        <color theme="1"/>
      </rPr>
      <t>Chase 2</t>
    </r>
    <r>
      <rPr>
        <rFont val="Arial"/>
        <color theme="1"/>
      </rPr>
      <t>, IAB 2, Metro, Bank of Ireland)</t>
    </r>
  </si>
  <si>
    <t>Because my card isn't on the list and can't find it</t>
  </si>
  <si>
    <r>
      <rPr>
        <rFont val="Arial"/>
        <color theme="1"/>
      </rPr>
      <t xml:space="preserve">Deposit - Bank not supported (Co-op 8, BoI 3, </t>
    </r>
    <r>
      <rPr>
        <rFont val="Arial"/>
        <strike/>
        <color theme="1"/>
      </rPr>
      <t>Chase 2</t>
    </r>
    <r>
      <rPr>
        <rFont val="Arial"/>
        <color theme="1"/>
      </rPr>
      <t>, IAB 2, Metro, Bank of Ireland)</t>
    </r>
  </si>
  <si>
    <t>You don't allow clysdale bank</t>
  </si>
  <si>
    <t>Problems logging on. STILL waiting for technical.support to sort it out</t>
  </si>
  <si>
    <t>forgot my login</t>
  </si>
  <si>
    <t>Nervous</t>
  </si>
  <si>
    <t>Have got what I need from the app in terms opening my ISA and the instant access account isn't worth opening as I can get a better interest rate elsewhere.</t>
  </si>
  <si>
    <t>Time constraint</t>
  </si>
  <si>
    <t>Time poor</t>
  </si>
  <si>
    <t>Didn’t trust it</t>
  </si>
  <si>
    <r>
      <rPr>
        <rFont val="Arial"/>
        <color theme="1"/>
      </rPr>
      <t xml:space="preserve">Deposit - Bank not supported (Co-op 8, BoI 3, </t>
    </r>
    <r>
      <rPr>
        <rFont val="Arial"/>
        <strike/>
        <color theme="1"/>
      </rPr>
      <t>Chase 2</t>
    </r>
    <r>
      <rPr>
        <rFont val="Arial"/>
        <color theme="1"/>
      </rPr>
      <t>, IAB 2, Metro, Bank of Ireland)</t>
    </r>
  </si>
  <si>
    <t>Because I haven’t been able to transfer money across as my bank is not listed.</t>
  </si>
  <si>
    <t>My wife uses it. I understand we cannot both.</t>
  </si>
  <si>
    <t>I read a lot of adverse comments online, so took out my ISA elsewhere.</t>
  </si>
  <si>
    <t>What is the difference between the Plum Website and the Plum App?</t>
  </si>
  <si>
    <t>Price - Too expensive / Subscription fee</t>
  </si>
  <si>
    <t>Cost</t>
  </si>
  <si>
    <t>Don’t know how to</t>
  </si>
  <si>
    <t>Registering required unnecessary personal information, and I can't be sure you can be trusted or are secure.</t>
  </si>
  <si>
    <t>Because I realised the interest rate drops after a period of time</t>
  </si>
  <si>
    <t xml:space="preserve">App looks like for a younger demographic (brand) </t>
  </si>
  <si>
    <t>It’s not really the app I’m looking for, seems a little “cartoonish” so aimed at a younger demographic.</t>
  </si>
  <si>
    <t>Too early to say</t>
  </si>
  <si>
    <t>Still undecided. Have never used online apps for financial investments before.</t>
  </si>
  <si>
    <t>Maybe l can just put money in my savings account</t>
  </si>
  <si>
    <t>What is Plum?</t>
  </si>
  <si>
    <t>Don’t see a point</t>
  </si>
  <si>
    <t>Waiting on funds to start using Plum</t>
  </si>
  <si>
    <t>Waiting for my next wage</t>
  </si>
  <si>
    <t>To be honest I didn’t know there was one , but I will try it 👍</t>
  </si>
  <si>
    <t>I’m waiting to release funds from another account to invest in your isa product</t>
  </si>
  <si>
    <t>Main reason is you don’t have a contact number, I still like to talk to somebody when they have hold of my money</t>
  </si>
  <si>
    <t>I anticipate I will be looking for a savings account soon, but not now</t>
  </si>
  <si>
    <t>i forgot to put the rules in when i first got the app</t>
  </si>
  <si>
    <t>Decided not to go ahead</t>
  </si>
  <si>
    <t>Because I have not opened up an account as you can't transfer other ISAs into your ISAs currently.
 I went with a company that I could do that.</t>
  </si>
  <si>
    <t>It wouldn’t link to my accounts</t>
  </si>
  <si>
    <t>I'm saving up</t>
  </si>
  <si>
    <t>Plum not accepting my bank account</t>
  </si>
  <si>
    <t>It was a horrible user experience for me - personally.</t>
  </si>
  <si>
    <t>Exclude</t>
  </si>
  <si>
    <t>I do use it</t>
  </si>
  <si>
    <t>Too complex. I simply want to deposit some money in a savings account with good interest, and can't see how. All I see is Pockets not account type and interest rate</t>
  </si>
  <si>
    <t>Do not know exactly what it does !!! Information was/is very weird to understand.</t>
  </si>
  <si>
    <t>I can’t get it to work with my Starling account</t>
  </si>
  <si>
    <t>I felt the control is not with me as I don't remember giving explicit permission for autosave. I realised it only when money was about to be taken from my bank account (via direct debit) and I had to take the hard route of cancelling the direct debit. And, figuring out how to turn off auto save in Plum wasn't easy. I always want the control with me and Plum's design seems the other way around. Hence, haven't started using Plum yet.</t>
  </si>
  <si>
    <t>I didnt open an account with you</t>
  </si>
  <si>
    <t>It won't connect to my Wise account so I can't use it.</t>
  </si>
  <si>
    <t>Because I'm currently unemployed</t>
  </si>
  <si>
    <t>Im not total sure how and why i need this app im not totaly convinced i havent had time to evaluate it effectivly</t>
  </si>
  <si>
    <t>Don’t want to link my bank account to the app</t>
  </si>
  <si>
    <t>deleted as the features in the free version weren't relevant to me at that time.</t>
  </si>
  <si>
    <r>
      <rPr>
        <rFont val="Arial"/>
        <color theme="1"/>
      </rPr>
      <t xml:space="preserve">Deposit - Bank not supported (Co-op 8, BoI 3, </t>
    </r>
    <r>
      <rPr>
        <rFont val="Arial"/>
        <strike/>
        <color theme="1"/>
      </rPr>
      <t>Chase 2</t>
    </r>
    <r>
      <rPr>
        <rFont val="Arial"/>
        <color theme="1"/>
      </rPr>
      <t>, IAB 2, Metro, Bank of Ireland)</t>
    </r>
  </si>
  <si>
    <t>Because it doesn’t have my bank on it</t>
  </si>
  <si>
    <t>Changed my mind</t>
  </si>
  <si>
    <t>n/a</t>
  </si>
  <si>
    <t>Hallo</t>
  </si>
  <si>
    <t>In consistant</t>
  </si>
  <si>
    <r>
      <rPr>
        <rFont val="Arial"/>
        <color theme="1"/>
      </rPr>
      <t xml:space="preserve">Deposit - Bank not supported (Co-op 8, BoI 3, </t>
    </r>
    <r>
      <rPr>
        <rFont val="Arial"/>
        <strike/>
        <color theme="1"/>
      </rPr>
      <t>Chase 2</t>
    </r>
    <r>
      <rPr>
        <rFont val="Arial"/>
        <color theme="1"/>
      </rPr>
      <t>, IAB 2, Metro, Bank of Ireland)</t>
    </r>
  </si>
  <si>
    <t>I am using it....daily
 Have set up various accounts</t>
  </si>
  <si>
    <t>I don’t have an account with Plum.
 My wife does.</t>
  </si>
  <si>
    <t>I am deciding whether this ir right for me.</t>
  </si>
  <si>
    <t xml:space="preserve">june </t>
  </si>
  <si>
    <t>don’t really know</t>
  </si>
  <si>
    <t>april-may</t>
  </si>
  <si>
    <t>Payments from my linked bank account into my plum ISA keep failing - I don’t know why.
 I am unable to pay into plum despite wanting to</t>
  </si>
  <si>
    <t>objected to linking my bank account to yours before any relationship has taken place</t>
  </si>
  <si>
    <t>I could see no reason why you should need details of my dealings with my bank.</t>
  </si>
  <si>
    <t>Decided not to open an account</t>
  </si>
  <si>
    <t>Haven’t been in a financial position to be able to just yet but will soon</t>
  </si>
  <si>
    <t>Too onerous</t>
  </si>
  <si>
    <t>Debit without consent</t>
  </si>
  <si>
    <t>You took money from my bank account without my permission</t>
  </si>
  <si>
    <t>It won’t connect to starling</t>
  </si>
  <si>
    <t>I downloaded the app and for some reason I couldn’t connect to my bank. I spoke to support but they couldn’t fix it and had to send it to second line support. I couldn’t be bothered to wait as there was another app offering a similar rate and it worked straight away, so I left it in the end.</t>
  </si>
  <si>
    <t>I didn’t need the service in the end. I tried to delete my account and my personal details from your service, but it seems this hasn’t been done. This was one of the doubts that I had as I was going through the account set up phase which put me off from using Plum facilities.</t>
  </si>
  <si>
    <t>I don't like how much access you wanted to banking details. I prefer to push information, rather than you pull it.</t>
  </si>
  <si>
    <t>I didn't trust you. Didn't like the fact you set up a direct debit without my permission. Was difficult to disconnect you from my bank account which was stressful despite what you stated!</t>
  </si>
  <si>
    <t>The account authorisation was too troublesome. I've had no such issues with any other bank.</t>
  </si>
  <si>
    <t>Couldn’t sync my bank</t>
  </si>
  <si>
    <t>You cannot handle joint bank accounts. My wife has an account with you so I cannot set one up.</t>
  </si>
  <si>
    <t>You wouldn’t reopen my account due to “technical” reasons with your banking provider. I’d loved to have come back, but instead I’ve gone to a competitor 🤷</t>
  </si>
  <si>
    <t>I found an alternative</t>
  </si>
  <si>
    <r>
      <rPr>
        <rFont val="Arial"/>
        <color theme="1"/>
      </rPr>
      <t xml:space="preserve">Deposit - Bank not supported (Co-op 8, BoI 3, </t>
    </r>
    <r>
      <rPr>
        <rFont val="Arial"/>
        <strike/>
        <color theme="1"/>
      </rPr>
      <t>Chase 2</t>
    </r>
    <r>
      <rPr>
        <rFont val="Arial"/>
        <color theme="1"/>
      </rPr>
      <t>, IAB 2, Metro, Bank of Ireland)</t>
    </r>
  </si>
  <si>
    <t>I'm with bank of Ireland which wasn't an option</t>
  </si>
  <si>
    <t>Installed the app as part of an evaluation during a financial review. Eventually went another way</t>
  </si>
  <si>
    <t>I was not happy with the need to link it to permanently link it to another bank account. Checking reviews, I saw many people were unhappy with this and how it functioned, moving money without their consent. I only want to transfer funds explicitly under my control without anything else being able to do so. I see this as being potentially insecure. Hence I decided not to progress with creating an account.</t>
  </si>
  <si>
    <t>Slow deposit</t>
  </si>
  <si>
    <t>It took too long for my money too transfer from my bank into plum. I use other savings accounts and it's transferred in under an hour</t>
  </si>
  <si>
    <t>I have already invested £5,000 into a Plum ISA.</t>
  </si>
  <si>
    <t>Took too long to invest</t>
  </si>
  <si>
    <t>I noticed you used a type of access to my bank account which seemed to me invasive.</t>
  </si>
  <si>
    <t>Cause it’s a scam referr 3 people and get this and get that nearly everybody has it now so what have I to do with it</t>
  </si>
  <si>
    <t>Tried to cancel my account. The App responds with an error message and will not cancel the account. Have tried multiple times but same result. I cannot cancel the account.</t>
  </si>
  <si>
    <t>Not needed in the end</t>
  </si>
  <si>
    <t>I invested elsewhere but plan to invest in 2025.</t>
  </si>
  <si>
    <t>I applied as looked a good offer but then suddenly realised I’d be in breach of the ISA rulings as I’ve got one already. I panicked and rushed to make sure you couldn’t take any money. Otherwise, you look a good provider, I’ve just already reached my cash ISA cap I think it was. Researched it a while back so the terminology may be slightly off as I’m recounting it now</t>
  </si>
  <si>
    <t>Unhappy with no personal contact only via APP and lost track of a large sum of money</t>
  </si>
  <si>
    <t>Not sure I still need</t>
  </si>
  <si>
    <t>I successfully completed an IVA in December 2023, when I've tried to restart using Plum you've not let me recommence using you</t>
  </si>
  <si>
    <t>You won't respond to emails, othave a phone number. As far as I can see, it's utterly shambolic.</t>
  </si>
  <si>
    <t>I am using Plum for some of my savings. I was really annoyed when my account was frozen as you didn't have the right information and needed proof of address and ID. It was frustrating as I'd had an account with you for a few months. You should ask for the details that you need when setting up my account</t>
  </si>
  <si>
    <t>Trust</t>
  </si>
  <si>
    <t>I am unsure of how to round my direct debits up to the nearest whole pound in order to start making deposits</t>
  </si>
  <si>
    <t>Lack of budgeting</t>
  </si>
  <si>
    <t>You don’t do annual budgets</t>
  </si>
  <si>
    <t>I couldn't get the account opened. I saw Plum's rates and wanted to do 2 cash fixed rate ISA'S for me and my husband. In the end, I gave up. I was sent round in circles by your website. I also wanted to protect my savings up to FSCC guarantee. Regards Marilyn Hopkins</t>
  </si>
  <si>
    <t>Forgot</t>
  </si>
  <si>
    <t>Bank declined payment</t>
  </si>
  <si>
    <t>Trying to reactivate</t>
  </si>
  <si>
    <t>I discovered that I'd already used my isa allowance for the year</t>
  </si>
  <si>
    <t>I did not open the account because I couldn't work the app.</t>
  </si>
  <si>
    <t>Elligibility: Customer not elligible for the service</t>
  </si>
  <si>
    <t>I am a US citizen and your terms and conditions specifically forbid US citizens or tax residents from having ISAs.</t>
  </si>
  <si>
    <t>I didn't feel happy to give you my bank details as I hadn't heard of your conmpany before.</t>
  </si>
  <si>
    <t>I don't need it or wish to continue.</t>
  </si>
  <si>
    <t>My Cash ISA is at its limit &amp; I don’t have the funds to make other investments.</t>
  </si>
  <si>
    <r>
      <rPr>
        <rFont val="Arial"/>
        <color theme="1"/>
      </rPr>
      <t xml:space="preserve">Deposit - Bank not supported (Co-op 8, BoI 3, </t>
    </r>
    <r>
      <rPr>
        <rFont val="Arial"/>
        <strike/>
        <color theme="1"/>
      </rPr>
      <t>Chase 2</t>
    </r>
    <r>
      <rPr>
        <rFont val="Arial"/>
        <color theme="1"/>
      </rPr>
      <t>, IAB 2, Metro, Bank of Ireland)</t>
    </r>
  </si>
  <si>
    <t>You don’t use metro bank</t>
  </si>
  <si>
    <t>I went with Moneybox</t>
  </si>
  <si>
    <t>Found other apps which I prefer</t>
  </si>
  <si>
    <t>App forced me down a route I did not want to go (connecting bank account for regular payments) when all I wanted was to transfer in an existing ISA</t>
  </si>
  <si>
    <t>Your product looks great and I know it has good recommendations from places like MSE etc, but even with that I still got freaked out when I was asked to give your app direct access to my banking app. Even though I'm sure it's safe, it just doesn't feel like it! Bit irrational I'm sure, but I don't want to connect an app that has any degree of risk to my banking app!</t>
  </si>
  <si>
    <t>Your app was incomprehensible. The whole purpose of opening an account with Plum was to transfer in an ISA. There was literally no way to do that without first paying into the ISA through some other method. How has your institution never considered the possibility someone has already used their whole allowance for the year, and they’re trying to transfer an ISA to yourselves. If you do not allow that then this should be made clear when advertising your products.</t>
  </si>
  <si>
    <t>It’s because I’m worried that it’s not safe to use.</t>
  </si>
  <si>
    <t>Went with goldmans Marcus isa for the brand name. Wasn't sure if you carried the same regulatory protection. Feared if something happened to you as a company that my money would be trapped.</t>
  </si>
  <si>
    <t>I do not want it anymore. Pls take my details of your system.</t>
  </si>
  <si>
    <t>Lack of transaparency</t>
  </si>
  <si>
    <t>Didn't like the look of it so decided against. Not transparent enough.</t>
  </si>
  <si>
    <t>Unable to ring and discuss an issue and the time it took to reply to messages was days, so glad I never deposited the 20k in your isa</t>
  </si>
  <si>
    <t>I did try but didn't finish - so must have found it difficult</t>
  </si>
  <si>
    <t>I didn't want to forced into setting up a direct debit. I prefer to control the frequency and amount of savings</t>
  </si>
  <si>
    <t>I asked a question regarding charges and never received a reply, we wanted to invest in an isa .</t>
  </si>
  <si>
    <t>Because your customer service took too long to reply to an email therefore I used another bank</t>
  </si>
  <si>
    <t>It asked me for direct debit and I wanted to pay in a lump sum</t>
  </si>
  <si>
    <t>I decided to deposit my savings with a more well-known institution. I'm risk averse.</t>
  </si>
  <si>
    <t>No idea what this is and don't recall signing up</t>
  </si>
  <si>
    <t>I wanted a cash isa for a lump sum, not a savings one.</t>
  </si>
  <si>
    <t>Just found it wasn’t for me . Just a bit obscure rules</t>
  </si>
  <si>
    <t>Terrible experience not being able to link bank account to put money in! Never to waste my time with your bank again.</t>
  </si>
  <si>
    <t>l nominated my bank account and transferred the minimum £100 just to open it as I was a bit scared, it's my first time investing online. I waited over a week, longer than the five days estimated - for the funds to transfer into my Plum account. l waited. When l checked into the account 10 days later the transaction had been cancelled - not by me. I tried at least twice to get in touch with somebody, just to find out what was happening. Once by chat and at least once by email - nobody responded. Nobody has responded to this day.
 As you can imagine it didn't give me the greatest confidence in Plum so I cancelled and invested elsewhere. 
 Hope that helps.</t>
  </si>
  <si>
    <t>Didn’t like the idea of connecting my primary bank account.</t>
  </si>
  <si>
    <t>We decided not to go ahead and change our finances at that time.</t>
  </si>
  <si>
    <t>I did not need to use Plum as I have alternative resources for my needs.</t>
  </si>
  <si>
    <t>I realised I could not afford to tie up my savings at this time.</t>
  </si>
  <si>
    <t>It will not let me link my joint account which is the only one I use.</t>
  </si>
  <si>
    <t>Couldn’t set up second Plumb account from my joint account as wife already had a Plum account.</t>
  </si>
  <si>
    <t>Still thinking about what to invest in</t>
  </si>
  <si>
    <t>Very difficult to add funds</t>
  </si>
  <si>
    <t>My wife deals wit our plum investments</t>
  </si>
  <si>
    <t>I was unsure about giving you my bank details - there is a clause that says you will decide how much my savings account with you needs funding and those two things together made me feel you would be taking money out of my current without my say-so. I may have misinterpreted this but it was unclear so I didn't proceed.</t>
  </si>
  <si>
    <r>
      <rPr>
        <rFont val="Arial"/>
        <color theme="1"/>
      </rPr>
      <t xml:space="preserve">Deposit - Bank not supported (Co-op 8, BoI 3, </t>
    </r>
    <r>
      <rPr>
        <rFont val="Arial"/>
        <strike/>
        <color theme="1"/>
      </rPr>
      <t>Chase 2</t>
    </r>
    <r>
      <rPr>
        <rFont val="Arial"/>
        <color theme="1"/>
      </rPr>
      <t>, IAB 2, Metro, Bank of Ireland)</t>
    </r>
  </si>
  <si>
    <t>I couldn't get it to link to the specific bank account I wanted to use. It kept linking to a savings account I had with my bank. I have now gone with another saver whose app linked with the account I wanted without any hassle.</t>
  </si>
  <si>
    <t>The account I linked you can’t take money from. I’ve tried to change it but am not having any luck.</t>
  </si>
  <si>
    <t>Was going to sign up but didn’t get it done as have a lot of options</t>
  </si>
  <si>
    <t>I have a lump sum to put in an ISA so didn’t want to have to set up a monthly transfer, there did not seem the option for that.</t>
  </si>
  <si>
    <t>Tried to open an isa, but was refused because my partner already had one with you (at my direction) and we share an email/bank account or some such garbage excuse. Easy decision; took my £40K (£20K pre and post April) elsewhere. Negligible difference in rate. If you can’t see through your sweeping generalisations to deal with people on a personal level, then I see it as a bullet dodged. Hopefully it’s a learning experience for you, but knowing how your institutions work that’s probably wishful thinking.</t>
  </si>
  <si>
    <t>Mandatory connection with bank accounts</t>
  </si>
  <si>
    <t>I decided not to have a banking app on my phone.</t>
  </si>
  <si>
    <t>The photo of my passport wasn't accepted through your technology</t>
  </si>
  <si>
    <t>I haven’t been well</t>
  </si>
  <si>
    <t>Don't think it's for me</t>
  </si>
  <si>
    <t>didn't want to give bank details etc</t>
  </si>
  <si>
    <t>I sent a mail about 3 to 4 months ago that I was unable to link my bank account to Plum....I never received an answer from you</t>
  </si>
  <si>
    <t>Started to get too complicated to use, so opened an account with someone else.</t>
  </si>
  <si>
    <t>The app wanted access/details of my bank account before I could see what products might be suitable for me.
 I should be able to choose to add my details once I have assessed the products. I do not want to add my details if I subsequently decide not to use the service.</t>
  </si>
  <si>
    <t>I don’t want to connect my bank account as I don’t trust this</t>
  </si>
  <si>
    <t>I was not happy about sharing banking information</t>
  </si>
  <si>
    <t>You don’t transfer money automatically and set up another account with fully informing me first. I just wanted an ISA</t>
  </si>
  <si>
    <r>
      <rPr>
        <rFont val="Arial"/>
        <color theme="1"/>
      </rPr>
      <t xml:space="preserve">Deposit - Bank not supported (Co-op 8, BoI 3, </t>
    </r>
    <r>
      <rPr>
        <rFont val="Arial"/>
        <strike/>
        <color theme="1"/>
      </rPr>
      <t>Chase 2</t>
    </r>
    <r>
      <rPr>
        <rFont val="Arial"/>
        <color theme="1"/>
      </rPr>
      <t>, IAB 2, Metro, Bank of Ireland)</t>
    </r>
  </si>
  <si>
    <t>Plum doesn’t except my bank. As I bank with Metro bank. That is the only reason why.</t>
  </si>
  <si>
    <t>Not an easy app to use</t>
  </si>
  <si>
    <t>I am very nervous of giving out my Bank details! I don't want anybody able to access our money..! Irrational I know but I'm not able to take that final step!</t>
  </si>
  <si>
    <t>I did not want to sign up for any automation and could not see how to opt out.</t>
  </si>
  <si>
    <t>I lost access due to email change. I reached out to support 3 times but never ever heard back</t>
  </si>
  <si>
    <t>I only wanted to open an ISA and I found it was hard to just open one on it's own without paying some type of monthly payment so I opened one with another company.</t>
  </si>
  <si>
    <t>I joined &amp; then changed my mind so deleted.
 Having then thought it through I decided I would join again but the app would not let me &amp; a phone call to you told me that I could not join again at this time so I put my money elsewhere!</t>
  </si>
  <si>
    <t>Too much info / documents asked</t>
  </si>
  <si>
    <t>I think I got part way to opening an account, but couldn’t get the info needed through so gave up, as it was not as straightforward as some other accounts to open</t>
  </si>
  <si>
    <t>I wanted to take out your ISA, the same as my wife. However because we use a joint current account to service payments I was told this was not possible. Very disappointing.</t>
  </si>
  <si>
    <t>My bank account doesn’t seem to recognise Plum at the set up stage.</t>
  </si>
  <si>
    <t>I don't know who you are, or why I should trust you with my money.</t>
  </si>
  <si>
    <t>Gone elsewhere</t>
  </si>
  <si>
    <t>Tried transferring the money, it didn't show up. The UI on the app was confusing, tried it out, tried to make sense of it, and when the money wasn't showing I got worried that it's buggy so decided against using it.</t>
  </si>
  <si>
    <t>I wanted to open an account but could only leave my email because of high demand. The instructions advised that I would be contacted once you were accepting new investments. I never heard from you again. Not even an update providing timescales. Very poor.</t>
  </si>
  <si>
    <t>I tried to transfer my existing cash ISA to Plum but this has not been possible causing me to raise a formal complaint.</t>
  </si>
  <si>
    <t>The questions you asked before I set up an account seemed very invasive. You seem to ask for more personal stuff than I was prepared to give. I don’t know how secure you’re holding a personal data is.</t>
  </si>
  <si>
    <t>I wanted to transfer-in old cash ISAs but the rate was lower than new money so I chose a different provider who had the same (higher) rate for old and new subscriptions.</t>
  </si>
  <si>
    <t>I got better rates elsewhere.</t>
  </si>
  <si>
    <t>I am using Plum. I have used it for a couple of years until the transfer from bank to Plum stopped working. Your help desk were unable to resolve. I then deleted the app, reinstalled and relinked the account after which all seems ok. So your information is wrong, which, combined with recent help desk experience, does not fill me with confidence</t>
  </si>
  <si>
    <t>I could not access the App so I found an alternative saving account that I could access easily.</t>
  </si>
  <si>
    <r>
      <rPr>
        <rFont val="Arial"/>
        <color theme="1"/>
      </rPr>
      <t xml:space="preserve">Deposit - Bank not supported (Co-op 8, BoI 3, </t>
    </r>
    <r>
      <rPr>
        <rFont val="Arial"/>
        <strike/>
        <color theme="1"/>
      </rPr>
      <t>Chase 2</t>
    </r>
    <r>
      <rPr>
        <rFont val="Arial"/>
        <color theme="1"/>
      </rPr>
      <t>, IAB 2, Metro, Bank of Ireland)</t>
    </r>
  </si>
  <si>
    <t>My bank wasn't listed on your drop down menu and didn't have simple 'connection' hence unable to transfer proposed funds.</t>
  </si>
  <si>
    <t>It was too intrusive from the start. We had to answer loads if questions and give you permissions to access our bank account. We opted for MoneyBox instead.</t>
  </si>
  <si>
    <t>Too much hassle. Opened an ISA at a competitor bank that had similar rates of % and with who I already had an account.</t>
  </si>
  <si>
    <t>Never recieved any emails. Also I think you required access to bank? Assumed it was a scam and deleted app forthwith</t>
  </si>
  <si>
    <t>I wanted a straightforward savings account into which I could transfer money in or out at will. I wasn't happy with having to apparently give you access to my current account where you could view my balances and withdraw money. On top of that the application seemed very complicated and in the end I couldn't get it to work.</t>
  </si>
  <si>
    <t>I had difficulty linking my bank account to Plum</t>
  </si>
  <si>
    <r>
      <rPr>
        <rFont val="Arial"/>
        <color theme="1"/>
      </rPr>
      <t xml:space="preserve">Deposit - Bank not supported (Co-op 8, BoI 3, </t>
    </r>
    <r>
      <rPr>
        <rFont val="Arial"/>
        <strike/>
        <color theme="1"/>
      </rPr>
      <t>Chase 2</t>
    </r>
    <r>
      <rPr>
        <rFont val="Arial"/>
        <color theme="1"/>
      </rPr>
      <t>, IAB 2, Metro, Bank of Ireland)</t>
    </r>
  </si>
  <si>
    <t>I can't link my chosen bank</t>
  </si>
  <si>
    <t>I forget I had an account</t>
  </si>
  <si>
    <t>Went elsewhere wasn’t happy that it’s on line only, makes communication difficult in my eyes. Could have got cheaper insurance from Aviva also went elsewhere same reason. I also don’t deal with companies that are slow to answer phone, discourtesy</t>
  </si>
  <si>
    <t>Better rate found</t>
  </si>
  <si>
    <t>I don't want you snooping around my bank account. There is no option to simply invest without sharing my bank details. That is either extortion or coercion. You choose one.</t>
  </si>
  <si>
    <t>I wanted to invest a sum of money not make a monthly payment. There is no option to do that</t>
  </si>
  <si>
    <t>Can't really remember! It was not very easy to create an account and for some reason you wanted my bank details. Other providers didn't want that. So I invested elsewhere</t>
  </si>
  <si>
    <t>You bar anyone with a US passport from using your product. I have US citizenship. So I can't use your product.</t>
  </si>
  <si>
    <t>I found a better ISA deal elsewhere</t>
  </si>
  <si>
    <t>Coukd not fininsh registration</t>
  </si>
  <si>
    <t>I dont know what it is</t>
  </si>
  <si>
    <t>Your interest rates were not as appealing as I thought</t>
  </si>
  <si>
    <t>Ran out of cash to invest</t>
  </si>
  <si>
    <t>Wasnt aware I was signed up</t>
  </si>
  <si>
    <t>I can't remember who you are.</t>
  </si>
  <si>
    <r>
      <rPr>
        <rFont val="Arial"/>
        <color theme="1"/>
      </rPr>
      <t xml:space="preserve">Deposit - Bank not supported (Co-op 8, BoI 3, </t>
    </r>
    <r>
      <rPr>
        <rFont val="Arial"/>
        <strike/>
        <color theme="1"/>
      </rPr>
      <t>Chase 2</t>
    </r>
    <r>
      <rPr>
        <rFont val="Arial"/>
        <color theme="1"/>
      </rPr>
      <t>, IAB 2, Metro, Bank of Ireland)</t>
    </r>
  </si>
  <si>
    <t>My building society account isn't compatible with Plum unfortunately</t>
  </si>
  <si>
    <t>i wanted a simple link to savings not all the bells and whistles yours provides</t>
  </si>
  <si>
    <t>Can’t remember, it was a while ago</t>
  </si>
  <si>
    <t>I couldn't link my plum to my uk chase account. I tried numerous times with both sides and couldn't get issue resolved</t>
  </si>
  <si>
    <t>didn't manage to set up isa in time, because the transfer of funds failed</t>
  </si>
  <si>
    <t>Couldn't link account so gave up.</t>
  </si>
  <si>
    <r>
      <rPr>
        <rFont val="Arial"/>
        <color theme="1"/>
      </rPr>
      <t xml:space="preserve">Deposit - Bank not supported (Co-op 8, BoI 3, </t>
    </r>
    <r>
      <rPr>
        <rFont val="Arial"/>
        <strike/>
        <color theme="1"/>
      </rPr>
      <t>Chase 2</t>
    </r>
    <r>
      <rPr>
        <rFont val="Arial"/>
        <color theme="1"/>
      </rPr>
      <t>, IAB 2, Metro, Bank of Ireland)</t>
    </r>
  </si>
  <si>
    <t>Doesn’t support my banking</t>
  </si>
  <si>
    <t>System had issue with location and seemed to think overseas. Help not available until after weekend so opened account with other provider over weekend and made deposit with no problem before heard from plum support. By then no need for account in short term and didn't feel confident using if issues arose later.</t>
  </si>
  <si>
    <r>
      <rPr>
        <rFont val="Arial"/>
        <color theme="1"/>
      </rPr>
      <t xml:space="preserve">Deposit - Bank not supported (Co-op 8, BoI 3, </t>
    </r>
    <r>
      <rPr>
        <rFont val="Arial"/>
        <strike/>
        <color theme="1"/>
      </rPr>
      <t>Chase 2</t>
    </r>
    <r>
      <rPr>
        <rFont val="Arial"/>
        <color theme="1"/>
      </rPr>
      <t>, IAB 2, Metro, Bank of Ireland)</t>
    </r>
  </si>
  <si>
    <t>I couldn't used it with my bank account which is with Smile / Co-op</t>
  </si>
  <si>
    <t>I’m nervous about putting in my bank account details</t>
  </si>
  <si>
    <t>What is plum</t>
  </si>
  <si>
    <t>Just haven't put money in it to start off with,and hope sooner will do and get the great character out of it</t>
  </si>
  <si>
    <t>Could not open an account. Difficulties with the app.</t>
  </si>
  <si>
    <t>Don't like just an app based product</t>
  </si>
  <si>
    <t>Didn’t understand the rational in the products. No video explaining rounding up and other.. Then you took money out of my savings account snd created a plum account which was not only a surprise but app couldn’t tell difference between my different accounts. As i hadn’t the time to research your savings M ethology I left it. Initially plum came up with calculations but when it didn’t work out it didn’t do or come up with anything else that was interesting I moved on.</t>
  </si>
  <si>
    <t>Having I think similar app on not sure</t>
  </si>
  <si>
    <t>I don't need the services provided by Plum</t>
  </si>
  <si>
    <t>The app kept telling me it couldn't sync with my bank account as it thought I was trying to link it to a credit card or savings account... but I was trying to link it to my current account.</t>
  </si>
  <si>
    <t>Didn't like the connection between your app and my bank account. I've given this feedback already.</t>
  </si>
  <si>
    <t>Computer wouldn’t let me open an account</t>
  </si>
  <si>
    <t>I have another account</t>
  </si>
  <si>
    <r>
      <rPr>
        <rFont val="Arial"/>
        <color theme="1"/>
      </rPr>
      <t xml:space="preserve">Deposit - Bank not supported (Co-op 8, BoI 3, </t>
    </r>
    <r>
      <rPr>
        <rFont val="Arial"/>
        <strike/>
        <color theme="1"/>
      </rPr>
      <t>Chase 2</t>
    </r>
    <r>
      <rPr>
        <rFont val="Arial"/>
        <color theme="1"/>
      </rPr>
      <t>, IAB 2, Metro, Bank of Ireland)</t>
    </r>
  </si>
  <si>
    <t>It does mot support metro</t>
  </si>
  <si>
    <t>Still planning to use it, as soon as I have spare cash to put in it</t>
  </si>
  <si>
    <t>Don't know what plum is</t>
  </si>
  <si>
    <t>Either the interest rate became uncompetitive or i had an issue with getting it up and running - if i had an issue i can’t remember what it was</t>
  </si>
  <si>
    <t>I don't realise I would have to give access to my separate accounts. Not something I wish to do.</t>
  </si>
  <si>
    <t>I haven't used the app mainly cause I was skeptical about entering all my bank details into an app</t>
  </si>
  <si>
    <t>Sorry, I don't need the service anymore.</t>
  </si>
  <si>
    <t>Was trying to get Plum on my phone, but always use my iPad for my bank! The two were not compatible 😢</t>
  </si>
  <si>
    <t>I have navigated the website. Good way of saving but I am sorry it's not for me for now. Thanks.</t>
  </si>
  <si>
    <t>Unable to move my ISA</t>
  </si>
  <si>
    <t>Couldn’t link to my bank accout</t>
  </si>
  <si>
    <t>I didn’t want to put my current account details in to the app. I didn’t want to pay in funds on a monthly basis, just as and when.</t>
  </si>
  <si>
    <r>
      <rPr>
        <rFont val="Arial"/>
        <color theme="1"/>
      </rPr>
      <t xml:space="preserve">Deposit - Bank not supported (Co-op 8, BoI 3, </t>
    </r>
    <r>
      <rPr>
        <rFont val="Arial"/>
        <strike/>
        <color theme="1"/>
      </rPr>
      <t>Chase 2</t>
    </r>
    <r>
      <rPr>
        <rFont val="Arial"/>
        <color theme="1"/>
      </rPr>
      <t>, IAB 2, Metro, Bank of Ireland)</t>
    </r>
  </si>
  <si>
    <t>My bank isn’t in the list of banks</t>
  </si>
  <si>
    <t>Uncertain about your name</t>
  </si>
  <si>
    <t>Too slow no contact numbers not user friendly</t>
  </si>
  <si>
    <t>To many issues with withdrawing cash</t>
  </si>
  <si>
    <t>Nonexistent customer service. Please do not contact me again.</t>
  </si>
  <si>
    <t>Change of mind</t>
  </si>
  <si>
    <t>Your interest rate was not the highest available at the time I was ready to buy invest</t>
  </si>
  <si>
    <t>Objected to forced use of Open Banking to give Plum access to my bank account transactions history</t>
  </si>
  <si>
    <t>I am more than capable of managing my own finances. I don’t use apps.</t>
  </si>
  <si>
    <t>Went to another provider.</t>
  </si>
  <si>
    <t>Plum stopped taking money then I was told by plum it wouldn’t work so I had to move banks to reconnect to plum. Not sure what changed and why plum
 Stopped working but was told they couldn’t fix it</t>
  </si>
  <si>
    <t>So long I’ve forgotten, but do you allow top up during tax year and limited withdrawals ?</t>
  </si>
  <si>
    <r>
      <rPr>
        <rFont val="Arial"/>
        <color theme="1"/>
      </rPr>
      <t xml:space="preserve">Deposit - Bank not supported (Co-op 8, BoI 3, </t>
    </r>
    <r>
      <rPr>
        <rFont val="Arial"/>
        <strike/>
        <color theme="1"/>
      </rPr>
      <t>Chase 2</t>
    </r>
    <r>
      <rPr>
        <rFont val="Arial"/>
        <color theme="1"/>
      </rPr>
      <t>, IAB 2, Metro, Bank of Ireland)</t>
    </r>
  </si>
  <si>
    <t>I don’t have a linked bank account so am unable to set up a Plum account</t>
  </si>
  <si>
    <t>I tried opening a 20K isa to invest and due to a technical glitch it wouldn’t allow me</t>
  </si>
  <si>
    <t>I used someone else for my ISA</t>
  </si>
  <si>
    <r>
      <rPr>
        <rFont val="Arial"/>
        <color theme="1"/>
      </rPr>
      <t xml:space="preserve">Deposit - Bank not supported (Co-op 8, BoI 3, </t>
    </r>
    <r>
      <rPr>
        <rFont val="Arial"/>
        <strike/>
        <color theme="1"/>
      </rPr>
      <t>Chase 2</t>
    </r>
    <r>
      <rPr>
        <rFont val="Arial"/>
        <color theme="1"/>
      </rPr>
      <t>, IAB 2, Metro, Bank of Ireland)</t>
    </r>
  </si>
  <si>
    <t>You don't accept my bank</t>
  </si>
  <si>
    <t>My bank wouldn't let me set up a transfer to the plum account i opened</t>
  </si>
  <si>
    <t>It required the linking of a bank account, and the wording stated that plum would have had access to my transactions details for the linked bank account, and other data that was unnecessary for me to share. There were other accounts/ISAs available with decent interest rates that did not require that level of invasion into my personal data, so I opened one of those instead. And I can just make a simple transfer in.</t>
  </si>
  <si>
    <t>My account should have been deleted</t>
  </si>
  <si>
    <t>I simply decided not to use it, however was unable to request for my account to be deleted. 
 If you could do that, I'd appreciate it. Thanks.</t>
  </si>
  <si>
    <t>Weary of transferring funds</t>
  </si>
  <si>
    <r>
      <rPr>
        <rFont val="Arial"/>
        <color theme="1"/>
      </rPr>
      <t xml:space="preserve">Deposit - Bank not supported (Co-op 8, BoI 3, </t>
    </r>
    <r>
      <rPr>
        <rFont val="Arial"/>
        <strike/>
        <color theme="1"/>
      </rPr>
      <t>Chase 2</t>
    </r>
    <r>
      <rPr>
        <rFont val="Arial"/>
        <color theme="1"/>
      </rPr>
      <t>, IAB 2, Metro, Bank of Ireland)</t>
    </r>
  </si>
  <si>
    <t>My bank was not compatible</t>
  </si>
  <si>
    <t>I wanted to transfer in isas from aldermore and marcus but found your transfer in rate is much lower than for cash funding it.
 I don't know if you accept transfers from marcus and aldermore anyway but it's a pity. It was alot of money I was willing to move had the rate been 5.1%</t>
  </si>
  <si>
    <t>Didn’t want to allow you to access my bank and login details. Most savings provider allow you to just make transfers in.</t>
  </si>
  <si>
    <t>Slow withdrawals</t>
  </si>
  <si>
    <t>i did not like the t&amp;c and to set up an account with the app was just too long winded and it was not going to be easy to get at my cash when needed so overall not a good service.</t>
  </si>
  <si>
    <r>
      <rPr>
        <rFont val="Arial"/>
        <color theme="1"/>
      </rPr>
      <t xml:space="preserve">Deposit - Bank not supported (Co-op 8, BoI 3, </t>
    </r>
    <r>
      <rPr>
        <rFont val="Arial"/>
        <strike/>
        <color theme="1"/>
      </rPr>
      <t>Chase 2</t>
    </r>
    <r>
      <rPr>
        <rFont val="Arial"/>
        <color theme="1"/>
      </rPr>
      <t>, IAB 2, Metro, Bank of Ireland)</t>
    </r>
  </si>
  <si>
    <t>My bank not eligble</t>
  </si>
  <si>
    <t>I have not extra money . iNVEST AND CASH ISA LIMIT HAS BEEN REACHED</t>
  </si>
  <si>
    <t>I can’t remember what the problem was but there was a problem trying to open account so I gave up so opened ones with different providers.</t>
  </si>
  <si>
    <t>Unclear benefit</t>
  </si>
  <si>
    <t>Just hesitation</t>
  </si>
  <si>
    <t>Tried to use online method of saving but it didn’t work.</t>
  </si>
  <si>
    <t>I made £20,000 payment over a 4 day period into an ISA you were offering over 5% but none of the payments went across into the ISA so I lost faith in the system.
 Is that ISA still available ? If so please explain how I can pay into it.</t>
  </si>
  <si>
    <r>
      <rPr>
        <rFont val="Arial"/>
        <color theme="1"/>
      </rPr>
      <t xml:space="preserve">Deposit - Bank not supported (Co-op 8, BoI 3, </t>
    </r>
    <r>
      <rPr>
        <rFont val="Arial"/>
        <strike/>
        <color theme="1"/>
      </rPr>
      <t>Chase 2</t>
    </r>
    <r>
      <rPr>
        <rFont val="Arial"/>
        <color theme="1"/>
      </rPr>
      <t>, IAB 2, Metro, Bank of Ireland)</t>
    </r>
  </si>
  <si>
    <t>The banks you show for transferring money does not include mine so I can’t make transactions</t>
  </si>
  <si>
    <r>
      <rPr>
        <rFont val="Arial"/>
        <color theme="1"/>
      </rPr>
      <t xml:space="preserve">Deposit - Bank not supported (Co-op 8, BoI 3, </t>
    </r>
    <r>
      <rPr>
        <rFont val="Arial"/>
        <strike/>
        <color theme="1"/>
      </rPr>
      <t>Chase 2</t>
    </r>
    <r>
      <rPr>
        <rFont val="Arial"/>
        <color theme="1"/>
      </rPr>
      <t>, IAB 2, Metro, Bank of Ireland)</t>
    </r>
  </si>
  <si>
    <t>Unfortunately my bank is not accepted (The Cooperative)</t>
  </si>
  <si>
    <r>
      <rPr>
        <rFont val="Arial"/>
        <color theme="1"/>
      </rPr>
      <t xml:space="preserve">Deposit - Bank not supported (Co-op 8, BoI 3, </t>
    </r>
    <r>
      <rPr>
        <rFont val="Arial"/>
        <strike/>
        <color theme="1"/>
      </rPr>
      <t>Chase 2</t>
    </r>
    <r>
      <rPr>
        <rFont val="Arial"/>
        <color theme="1"/>
      </rPr>
      <t>, IAB 2, Metro, Bank of Ireland)</t>
    </r>
  </si>
  <si>
    <t>Co op bank not recognised</t>
  </si>
  <si>
    <r>
      <rPr>
        <rFont val="Arial"/>
        <color theme="1"/>
      </rPr>
      <t xml:space="preserve">Deposit - Bank not supported (Co-op 8, BoI 3, </t>
    </r>
    <r>
      <rPr>
        <rFont val="Arial"/>
        <strike/>
        <color theme="1"/>
      </rPr>
      <t>Chase 2</t>
    </r>
    <r>
      <rPr>
        <rFont val="Arial"/>
        <color theme="1"/>
      </rPr>
      <t>, IAB 2, Metro, Bank of Ireland)</t>
    </r>
  </si>
  <si>
    <t>Your site wouldn’t support my bank even though it’s in the UK. I emailed numerous times and received numerous reasons why I couldn’t set up an account</t>
  </si>
  <si>
    <t>Put off by the joining process</t>
  </si>
  <si>
    <t>It is the most backward app ever designed !It is unusable with so many logins and restrictions.</t>
  </si>
  <si>
    <t>Found better interest rates elsewhere.</t>
  </si>
  <si>
    <t>You had to link it to your current account and I didn’t wish to do this.</t>
  </si>
  <si>
    <t>No longer needed</t>
  </si>
  <si>
    <t>Didn't realise isa interest was not paid into bank.</t>
  </si>
  <si>
    <t>Cancel account</t>
  </si>
  <si>
    <t>I cannot access the application</t>
  </si>
  <si>
    <t>drtfhq4twh2345</t>
  </si>
  <si>
    <t>Lack of funds</t>
  </si>
  <si>
    <t>Too many deficiencies</t>
  </si>
  <si>
    <t>I do not want to use this account as it requires too much personal data to set up</t>
  </si>
  <si>
    <t xml:space="preserve">Time constraint </t>
  </si>
  <si>
    <t>Haven’t had time to start yet</t>
  </si>
  <si>
    <t>I'm not sure</t>
  </si>
  <si>
    <t>I need to fully understand what I'm doing , hence the delays</t>
  </si>
  <si>
    <t>The Plum app isn't available in the Polish Apple Store, which is where my Apple ID is registered</t>
  </si>
  <si>
    <t>Need some advice on what to do</t>
  </si>
  <si>
    <t>Didn’t like the request to monitor my bank activity</t>
  </si>
  <si>
    <t>I downloaded the app and opened a 1 year fixed rate account, after being offered an enhanced interest rate (bonus) for the 1st year. However, when I opened the account, the detail of the enhanced rate was nowhere to be seen, so made me very reluctant to invest. I found an overall better rate elsewhere. I did not deposit any money into the Plum account.</t>
  </si>
  <si>
    <t>I wasn’t sure about it</t>
  </si>
  <si>
    <t>I got busy!</t>
  </si>
  <si>
    <t>Really only using for my ISA</t>
  </si>
  <si>
    <t>We Couldn't link more than one plum pot to our joint account</t>
  </si>
  <si>
    <t>Far too difficult to open a Cash ISA with your bank. You wanted information that was not required by any other bank I have applied with.... So I have no need of your app or bank.</t>
  </si>
  <si>
    <t>Your ISA was recommended by Martin Lewis, that’s what I’m using.</t>
  </si>
  <si>
    <t xml:space="preserve">n/a </t>
  </si>
  <si>
    <t>I closed the account</t>
  </si>
  <si>
    <t>Wanted to just open a savings account but then it indicated that Plum needed to monitor my spending on other accounts which I didn’t think was necessary</t>
  </si>
  <si>
    <t>My phone does not have enough storage for the app.</t>
  </si>
  <si>
    <t>you asking me to give an access to my bank accounts, which I will never do, don’t trust any app to do it, also to many useless notifications from the app</t>
  </si>
  <si>
    <t>I do not like the idea of an app only investment. Although the rates you offered were recommended on the Martin Lewis website, I do not trust android phones for security, and therefore It was disappointing that you could not provide a website allowing me a little more trusted method of my information security.</t>
  </si>
  <si>
    <t>Difficult to move funds from bank account to Plum even after phone call.</t>
  </si>
  <si>
    <t>I'm afraid to invest without previous experience</t>
  </si>
  <si>
    <t>Unable to correct information provided</t>
  </si>
  <si>
    <t>I opened the account but needed to make a change, cant recall what or why, that could not be made so you closed the account</t>
  </si>
  <si>
    <t>Could not transfer funds using BACS. Could not use my banking app to transfer funds.</t>
  </si>
  <si>
    <t>Not sure I signed up for it</t>
  </si>
  <si>
    <t>I have another saving account and did not want another on.</t>
  </si>
  <si>
    <t>I didn't like the fact it was accessing my other bank accounts+ made me worry about fraud risk</t>
  </si>
  <si>
    <t>It wasn’t what I thought it was. Primarily interested in an ISA but found it too complicated</t>
  </si>
  <si>
    <t>I was looking into your ISA on behalf of my partner. He took over when I notified him of your product.</t>
  </si>
  <si>
    <t>Deposit: Not accepting cheques</t>
  </si>
  <si>
    <t>I couldn't submit a large value cheque that I didn't want to post. Ended up going into a physical bank</t>
  </si>
  <si>
    <t>App was too complicated</t>
  </si>
  <si>
    <t>I lost confidence in the security process. I did not know if the actual app was legit. Then I just gave up.</t>
  </si>
  <si>
    <t>Had to make my bank open to your site, did not want to do that</t>
  </si>
  <si>
    <t>Lots of bad reviews regarding getting money out</t>
  </si>
  <si>
    <r>
      <rPr>
        <rFont val="Arial"/>
        <color theme="1"/>
      </rPr>
      <t xml:space="preserve">Deposit - Bank not supported (Co-op 8, BoI 3, </t>
    </r>
    <r>
      <rPr>
        <rFont val="Arial"/>
        <strike/>
        <color theme="1"/>
      </rPr>
      <t>Chase 2</t>
    </r>
    <r>
      <rPr>
        <rFont val="Arial"/>
        <color theme="1"/>
      </rPr>
      <t>, IAB 2, Metro, Bank of Ireland)</t>
    </r>
  </si>
  <si>
    <t>You haven't got the metro bank as one of your listed banks for me to transfer funds from.</t>
  </si>
  <si>
    <t>Forgot it</t>
  </si>
  <si>
    <t>There was something about the operation of the account that i was uncertain about. Went with an alternative. May look again when the time comes.</t>
  </si>
  <si>
    <t>Yes, nothing to do with the app but I was nervous about giving access to all my bank account information. I might still do it but need to understand how it works more.</t>
  </si>
  <si>
    <t>I have no idea who or what withplum is and do nit recall singing to use it.
 Please remove my details from your database.
 Many thanks 
 Mr. A. J. De Vos</t>
  </si>
  <si>
    <t>it takes too long and I'll get frustrated</t>
  </si>
  <si>
    <t>I wasn’t comfortable with the amount of personal information I was being asked to give you.</t>
  </si>
  <si>
    <t>When I tried to connect my phone could not connect to Plum. I will give it another try.</t>
  </si>
  <si>
    <r>
      <rPr>
        <rFont val="Arial"/>
        <color theme="1"/>
      </rPr>
      <t xml:space="preserve">Deposit - Bank not supported (Co-op 8, BoI 3, </t>
    </r>
    <r>
      <rPr>
        <rFont val="Arial"/>
        <strike/>
        <color theme="1"/>
      </rPr>
      <t>Chase 2</t>
    </r>
    <r>
      <rPr>
        <rFont val="Arial"/>
        <color theme="1"/>
      </rPr>
      <t>, IAB 2, Metro, Bank of Ireland)</t>
    </r>
  </si>
  <si>
    <t>No Co-op bank to link with in app</t>
  </si>
  <si>
    <t>Will not use direct debit to add funds, under any circumstances, transfer yes, direct debit no!</t>
  </si>
  <si>
    <t>I didnt like providing you with information about other accounts with other banks</t>
  </si>
  <si>
    <t>Just not had the time and thinking it might take a lot of effort to set up.</t>
  </si>
  <si>
    <t>I have an ISA on the app so I don’t see what the issue is?</t>
  </si>
  <si>
    <t>I decided not to use it</t>
  </si>
  <si>
    <t>mmmmmmmmmmmmmmmm</t>
  </si>
  <si>
    <t>Cash ISA rate on transfers was too low and has withdrawal number limits before interest drops.
 Also, savings account rate is below competitors.
 App looks great and I hope to use it in future when rates are more competitive.</t>
  </si>
  <si>
    <t>I changed my mind</t>
  </si>
  <si>
    <t>5.17%, but a lower 4.29% if transferring in existing ISA
 This lower transfer rate is unacceptable, you are NOT going to get any business with this low rate. Transferred to Zopa and Trading 212
 Earn 5.2% AER on your cash
 Get paid daily. Withdraw anytime.</t>
  </si>
  <si>
    <t>Can't resume onboarding</t>
  </si>
  <si>
    <t>I signed up but I accidently cancelled
 I phoned up about what happened but was told cus 
 i cancelled I couldn't re apply ?</t>
  </si>
  <si>
    <t>I am a dual national. You exclude us. 🥺🥺🥺</t>
  </si>
  <si>
    <t>Can’t answer the questions</t>
  </si>
  <si>
    <t>I was looking for budgeting app. Not money management</t>
  </si>
  <si>
    <t>Interface too complicated with unwanted addons</t>
  </si>
  <si>
    <t>Won't let me log in</t>
  </si>
  <si>
    <t>Can’t access my plum account with my password have reported it to plumb but to no avail please help me to recover my account/money thanks</t>
  </si>
  <si>
    <t>You wanted too many personal details that didn't seem strictly necessary.</t>
  </si>
  <si>
    <t>So, I was really excited to use Plum but when I went through the set up steps there only seemed to be an option to pay in money via a monthly set up from my bank account. I wanted to be able to pay in money as and when I wanted i.e. more flexibly and not be forced to have a monthly installment. It wasn't clear from the FAQs whether this was possible or not so I didn't continue with using Plum.</t>
  </si>
  <si>
    <t>Do not agree with connecting other accounts with plum</t>
  </si>
  <si>
    <t>I didn’t want plum to monitor my linked bank account</t>
  </si>
  <si>
    <t>We had £500k to invest and you were our first pick for 85k (via Martin Lewis) but the application became so complicated, particularly regarding identity, which I do understand, that we gave up and we moved on. We still have some to invest so make it easy for us and get in touch!</t>
  </si>
  <si>
    <t>churn within 4h of signing up</t>
  </si>
  <si>
    <t>primary reason</t>
  </si>
  <si>
    <t xml:space="preserve">customer comment </t>
  </si>
  <si>
    <t>nothing, maybe less private information. At revolute, when you buy stocks, it doesn't require to much information.</t>
  </si>
  <si>
    <t>Allow for debit card in app purchase not link to bank account</t>
  </si>
  <si>
    <t>I didn't like giving out my bank details so soon . I hadn't really had a chance to see what options were there.</t>
  </si>
  <si>
    <t>Don't like the fact you have direct access to my bank account</t>
  </si>
  <si>
    <t xml:space="preserve">Lack of information on Direct Debit amount / Wants to consent </t>
  </si>
  <si>
    <t>More consent</t>
  </si>
  <si>
    <t>Worried about safety of money</t>
  </si>
  <si>
    <t>Frightened about my bank details you have</t>
  </si>
  <si>
    <t>I had a warning from my bank asking me to make sure I generated  the passcode which is needed. Iv seen to many scamming videos and paranoid someone will take my money from my bank.</t>
  </si>
  <si>
    <t>i just didn’t trust having access to my bank</t>
  </si>
  <si>
    <t>Don't feel confortable with an app connected to my bank account</t>
  </si>
  <si>
    <t>Worried about having full access to my bank</t>
  </si>
  <si>
    <t>The direct debit agreement was completed before I even got on the app properly. I hadn’t even agreed to invest and you already had a direct debit, I also don’t recall signing an agreement for direct debit (this may just have been me not reading properly) but this was intense and made me feel uneasy.</t>
  </si>
  <si>
    <t>Worried about you having my bank account details and how it would be used!</t>
  </si>
  <si>
    <t>I got worried about the security of my bank details by linking the app</t>
  </si>
  <si>
    <t>I was unsure and scared once it went through linking the bank. Do I sign up to a plan so much per month(example £9.99) and it is invested into whatever things I selected? I just wondered I was little unclear it's not that u weren't very good at explaining I just panicked. I lost my wife in June and I'm juggling my girls futures with my life policy and I guess I thought if i commit I can't reverse it if its wrong.</t>
  </si>
  <si>
    <t>Wasn’t comfortable with taking my bank details</t>
  </si>
  <si>
    <t>Giving access to a lot of data</t>
  </si>
  <si>
    <t>I’m not to sure about it, how much I’m charged? how much I transfer?, and why I couldn’t browse without putting in my bank details</t>
  </si>
  <si>
    <t xml:space="preserve">Concerned about overdraft if not enough money in account </t>
  </si>
  <si>
    <t>I was worried that you would take money out when I didn’t have much in my account.</t>
  </si>
  <si>
    <t>Didn’t know if takes out money without consent</t>
  </si>
  <si>
    <t>Because I don’t know how much you are going to take for direct debit and also I am not sure what to do.</t>
  </si>
  <si>
    <t>To complicated, didn’t like the fact I needed to link my bank account to use it</t>
  </si>
  <si>
    <t xml:space="preserve">UX - Doesn't understand how investment works </t>
  </si>
  <si>
    <t>I did understand how the investment worked. Didn't understand the meaning and didn't want to get something wrong</t>
  </si>
  <si>
    <t>Lack of information</t>
  </si>
  <si>
    <t>I was unsure how much money would be taken from my account, I thought it would be myself who decided what went into the plum account</t>
  </si>
  <si>
    <t>I wasn't sure what the charges were when I received an email saying a direct debit set up</t>
  </si>
  <si>
    <t>Thought it was a good idea then got worried would lose loads of money and for a new beginner it doesn't explain too well the plans for investing etc.</t>
  </si>
  <si>
    <t>I misunderstood the purpose of the app. I thought it was for tracking my spending. Also, I was concerned about money being taken , once I had clicked on all these stocks and shares.... I was not confident that I didn't accidently set up several direct debits without realising. Long story short , there was a lot to get my head round in such a small space of time and I only wanted to track my spending,  not invest in something I have no knowledge in.</t>
  </si>
  <si>
    <t>Not clear how much would be debited and when, couldn’t find any proof of what would be debited</t>
  </si>
  <si>
    <t>A little confused and unsure how it worked but</t>
  </si>
  <si>
    <t>I couldn't understand what was going on I wanted to invest but felt i had nothing explaining to me the process before i gave over some money so being cautious i cancelled.</t>
  </si>
  <si>
    <t>To quick to want personal deep info like bank account.. Want direct debit detail at sign up without explaining how it works</t>
  </si>
  <si>
    <t>Reason for access and direct debit with my bank account not explained</t>
  </si>
  <si>
    <t>It's way too complicated. Too much to consider from 1 app</t>
  </si>
  <si>
    <t>didn’t know what i was doing and how yo proplery use</t>
  </si>
  <si>
    <t>Didn’t want money taken from my account without my consent</t>
  </si>
  <si>
    <t>I wasn't comfortable giving all my account and transaction details.  Secondly, getting a direct debit instruction confirmation immediately that I didn't really understand what was being transferred and to where made me concerned about money leaving my account that I wasn't clear I'd agreed to.</t>
  </si>
  <si>
    <t>I think it was too quick going through the process of setting up DD transfers into my plum account without really understanding what the App was doing.</t>
  </si>
  <si>
    <t>The immediate direct debit and no control over what you take or when worried me infact I’m still waiting for my bank to confirm that nothing has gone out</t>
  </si>
  <si>
    <t>Timestamp</t>
  </si>
  <si>
    <t>What prevent you from finish setting up your profile?</t>
  </si>
  <si>
    <t>GT categorisation</t>
  </si>
  <si>
    <t>you don't use my bank</t>
  </si>
  <si>
    <t>Deposit - Bank not supported</t>
  </si>
  <si>
    <t>I don’t want to give you access to my bank details. I want to choose myself how much to transfer into savings or investments account.</t>
  </si>
  <si>
    <t xml:space="preserve">Not available in Australia </t>
  </si>
  <si>
    <t>Availbility - Country unavailable</t>
  </si>
  <si>
    <t xml:space="preserve">worried about. Giving my bank details for direct debit </t>
  </si>
  <si>
    <t xml:space="preserve">Bank of ireland was not on the list </t>
  </si>
  <si>
    <t>Plum asking for my bank details is OK but to say they wanted to monitor my account transactions is not OK.</t>
  </si>
  <si>
    <t>Security - Don't want to give access to bank account data</t>
  </si>
  <si>
    <t>Not finding my bank</t>
  </si>
  <si>
    <t>You were asking questions about things that I believe are none of your business and have no relavence to the product you are offering</t>
  </si>
  <si>
    <t>Don't want to share bank details or allow app access to my account</t>
  </si>
  <si>
    <t>J ai essayé mais ça ne me prop9pas l applicat6en français et je ne peux pas indiquer ma banque</t>
  </si>
  <si>
    <t>i didnt have permission from my bank to use online banking if i continued id face prosecution.</t>
  </si>
  <si>
    <t>My bank isn’t listed</t>
  </si>
  <si>
    <t>My bank was not listed</t>
  </si>
  <si>
    <t>Because wife and I have joint bank account that we both use</t>
  </si>
  <si>
    <t xml:space="preserve">Don't  use my bank </t>
  </si>
  <si>
    <t>I already have an account which I cannot access &amp; money is still being taken from my account. 
I have tried several times &amp; still no further forward   
I hope this can can be resolved asap 
Thanks 
Mandy</t>
  </si>
  <si>
    <t>Duplicate account</t>
  </si>
  <si>
    <t>I didn't realise I needed to share my bank details, I was only looking to invest in some shares</t>
  </si>
  <si>
    <t>I haven't been able to finish my profile as the links and app took me in circles.  It was incredibly frustrating,  I wasted 3 hours and achieved nothing</t>
  </si>
  <si>
    <t xml:space="preserve">I lost Interest because the game was asking for code that I did not have. </t>
  </si>
  <si>
    <t>There was no option to finish it. I kept getting the same screen after putting my bank details in. I got back to the same check your emails screen over and over again.</t>
  </si>
  <si>
    <t>Read your review  not very good good bye</t>
  </si>
  <si>
    <t>Lack of trust due to bad reviews</t>
  </si>
  <si>
    <t>requested very detailed personal info without first explaining what services available</t>
  </si>
  <si>
    <t>I don't want to submit my bank details</t>
  </si>
  <si>
    <t xml:space="preserve">App freezes after I link my bank account </t>
  </si>
  <si>
    <t xml:space="preserve">Didn't have my bank available </t>
  </si>
  <si>
    <t xml:space="preserve">It is not letting me sight in </t>
  </si>
  <si>
    <t>Can't verify email</t>
  </si>
  <si>
    <t>It seemed that Plum was going to include all the money that I had in my main account plus the pots I had created when calculating how much money to transfer. This isn't what I wanted as the money in the pot earns a better rate of interest but I couldn't see a way of separating the two.</t>
  </si>
  <si>
    <t xml:space="preserve">Nothing </t>
  </si>
  <si>
    <t>App not compatible with my bank (Co-op)</t>
  </si>
  <si>
    <t>Previous account</t>
  </si>
  <si>
    <t>does not accept dual citizens U.S/U.K</t>
  </si>
  <si>
    <t>Availability - Nationality not supported</t>
  </si>
  <si>
    <t>My bank is not listed so cannot use the app. The cooperative Bank.</t>
  </si>
  <si>
    <t>Ma banque BNP PARIBAS n'est pas inscrit parmi les autres banques</t>
  </si>
  <si>
    <t xml:space="preserve">Having to link all of my bank account when I downloaded the app with a view of investing </t>
  </si>
  <si>
    <t xml:space="preserve">Too young 🤦‍♂️ you should be able to make a crypto account when you’re at least 14 what about young people who want to start investing? </t>
  </si>
  <si>
    <t>Availability - Age not supported</t>
  </si>
  <si>
    <t>Couldn’t connect with metro bank</t>
  </si>
  <si>
    <t>I use Chase bank, which you guys don't support. If you have support for it in the future I'd definitely be interesting in using Plum for investing</t>
  </si>
  <si>
    <t>Bank of ireland isn't an option</t>
  </si>
  <si>
    <t>Link didn’t work neither did the copy and paste method</t>
  </si>
  <si>
    <t>Has not got the bank i use (The co-operative bank)</t>
  </si>
  <si>
    <t>Too complex, kept attempting to take money from my account and failed</t>
  </si>
  <si>
    <t xml:space="preserve">I wanted to set it up so it could tell me what it was going to remove from my account. Before I actually committed. But once set up it’ll start saving/ removing money straight away. There should be a monitoring period where you can see it’s calculations before committing </t>
  </si>
  <si>
    <t>I am unable to complete the process, as you do not currently offer "The Co-operative Bank" as an option. I could not move to the next stage, despite the instructions I was given that "If your Bank is not listed you can select the Can't find my bank option." This was not listed in the choices either.</t>
  </si>
  <si>
    <t xml:space="preserve">Kept sending me emails and no initial information just wanted access to my bank account </t>
  </si>
  <si>
    <t xml:space="preserve">Coop bank not listed </t>
  </si>
  <si>
    <t>Linking bank</t>
  </si>
  <si>
    <t>I live in Northern Ireland and bank with AIB (Allied Irish Bank).You don't seem to accept AIB customers. Why is this?</t>
  </si>
  <si>
    <t>I have set up my profile</t>
  </si>
  <si>
    <t>You dont recognise my bank, AIB</t>
  </si>
  <si>
    <t>Bank of ireland wasn't supported and couldn't continue without choosing a bank</t>
  </si>
  <si>
    <t>My bank account wasn’t listed</t>
  </si>
  <si>
    <t xml:space="preserve">Linking bank accounts </t>
  </si>
  <si>
    <t xml:space="preserve">Wouldn’t let me finish setting up tried a few times but still couldn’t finish tried to get another email send but didn’t receive anything </t>
  </si>
  <si>
    <t>Bank connection issues</t>
  </si>
  <si>
    <t>It took me to my online banking screen and that was it! I tried relogging many times but nothing changed</t>
  </si>
  <si>
    <t>Bank account wouldn't link</t>
  </si>
  <si>
    <t>Not enough supported banks especially on savings side</t>
  </si>
  <si>
    <t xml:space="preserve">I don't quite know what happened. It went as far confirming my bank details, and nothing happened after then. </t>
  </si>
  <si>
    <t xml:space="preserve">After I successfully share my bank account it says I'm being redirected back to my bank but it never does. It stops and does nothing </t>
  </si>
  <si>
    <t>Don’t do think money bank</t>
  </si>
  <si>
    <t>You don't cover my bank, the coop</t>
  </si>
  <si>
    <t xml:space="preserve">Unhappy about giving bank information </t>
  </si>
  <si>
    <t xml:space="preserve">Went to page for banks didn't have my bank and wouldn't let me continue </t>
  </si>
  <si>
    <t xml:space="preserve">I have tried about 20 times and it doesn't qork. Connects to my bank then nothing happens and won't let me progress. Given up now. Was recommended by a family member and they said it should work but I showed them it doesn't. </t>
  </si>
  <si>
    <t xml:space="preserve">My bank doesn’t support open banking </t>
  </si>
  <si>
    <t xml:space="preserve">My bank is coop bank. No option to work?! </t>
  </si>
  <si>
    <t xml:space="preserve">I see it before I finish my profile </t>
  </si>
  <si>
    <t>I had a previous account but got locked out of my email and it won’t let me set up a new one</t>
  </si>
  <si>
    <t>The reviews regarding direct debit issues were too damning to put my finances in your hands</t>
  </si>
  <si>
    <t>Chase account not supported, there should be an option to just setup a DD without open banking for accounts you dont support</t>
  </si>
  <si>
    <t>I could not get past the bank account linking stage. After your app prompts me to select my bank (Barclays) from the list, it says 'successful' just before redirecting me to the Barclays app. After I log in there, nothing happens. If I open your app back up, it stays on the page saying successful, but when I click back it starts the process over again.</t>
  </si>
  <si>
    <t xml:space="preserve">I wanted to set Plum up. However, the link to my barclays Bank just did not work
 It would connect, allo me to login and then nothing happened. </t>
  </si>
  <si>
    <t>My bank was not on your list</t>
  </si>
  <si>
    <t>I'm not going to put my bank details into an app which hasn't earned my trust yet.</t>
  </si>
  <si>
    <t xml:space="preserve">Your not linked to the bank I use? Co op </t>
  </si>
  <si>
    <t>You didn’t have the link to my bank</t>
  </si>
  <si>
    <t>When it went through to my bank I logged in but then nothing happened, it didn't take me any further along the process</t>
  </si>
  <si>
    <t>It won't let me link my bank account</t>
  </si>
  <si>
    <t xml:space="preserve">Don't need saving account  just investing </t>
  </si>
  <si>
    <t>UX - Only want to invest, no auto savings</t>
  </si>
  <si>
    <t xml:space="preserve">You don't deal with Bank of Ireland. </t>
  </si>
  <si>
    <t>I need to know more about your services before I sign up. Signing in took a long time. All your email went to trash. Each time I pressed set up your account I was asked again for my email .  10x was too much! I gave up!</t>
  </si>
  <si>
    <t xml:space="preserve">Am happy </t>
  </si>
  <si>
    <t xml:space="preserve">My bank isn't compatible. </t>
  </si>
  <si>
    <t>I need to open a separate bank account in my name. All my accounts are in joint names which would be unsuitable. Also, I thought there was a provision to trial the app without making any investment but I might be wrong.</t>
  </si>
  <si>
    <t>Privacy invasion</t>
  </si>
  <si>
    <t xml:space="preserve">I couldn’t use my bank account. </t>
  </si>
  <si>
    <t>Got stuck in a loop with the banking section. Added 3 separate bank accounts and couldn't progress on the App using my Samsung phone. Clearly a glitch of some sort.</t>
  </si>
  <si>
    <t>Bugs</t>
  </si>
  <si>
    <t>I need to know how much I need to put in a month can I set my own amount or is there a minimum amount.</t>
  </si>
  <si>
    <t xml:space="preserve">Made new account with a different email address </t>
  </si>
  <si>
    <t xml:space="preserve">It doesn't work </t>
  </si>
  <si>
    <t>Because the site froze</t>
  </si>
  <si>
    <t>Tried multiple times to connect to bank but kept timing out</t>
  </si>
  <si>
    <t xml:space="preserve">Bank would not connect </t>
  </si>
  <si>
    <t>Failure for plumb to link chase account. Other bank metro
Not supported so couldn’t sign up</t>
  </si>
  <si>
    <t xml:space="preserve">Can’t link bank </t>
  </si>
  <si>
    <t>Can't link my tsb account. Can I start account and add direct debit later?</t>
  </si>
  <si>
    <t>It wouldn't allow me to get further</t>
  </si>
  <si>
    <t xml:space="preserve">I can’t get into my plumb account on the usual account t it says that my account is already set up </t>
  </si>
  <si>
    <t xml:space="preserve">Duplicate account </t>
  </si>
  <si>
    <t>Concerned / Doesn’t want account linking</t>
  </si>
  <si>
    <t>worried about security, unwilling to share account and transaction details</t>
  </si>
  <si>
    <t>I don’t understand the product ahead of proceeding</t>
  </si>
  <si>
    <t>Unwanted Direct Debit</t>
  </si>
  <si>
    <t>in most cases due to uncertainty around what amount will be taken</t>
  </si>
  <si>
    <t>Too complex / Poor UX</t>
  </si>
  <si>
    <t>Wants to be asked for consent</t>
  </si>
  <si>
    <t>Too many personal details requested</t>
  </si>
  <si>
    <t>Worried about overdraft</t>
  </si>
  <si>
    <t>total</t>
  </si>
  <si>
    <t>don't complete the bank linking step</t>
  </si>
  <si>
    <t xml:space="preserve">Bank not supported </t>
  </si>
  <si>
    <t xml:space="preserve">Deposit / bank connection not working </t>
  </si>
  <si>
    <t>Email verification issues</t>
  </si>
  <si>
    <t xml:space="preserve">Not available in desired location </t>
  </si>
  <si>
    <t>Do not accept dual citizen</t>
  </si>
  <si>
    <t>Too young</t>
  </si>
  <si>
    <t>total (other than bank not supported)</t>
  </si>
  <si>
    <t>Deposit - Bank not supported (Co-op 8, BoI 3, Chase 2, IAB 2)</t>
  </si>
  <si>
    <t>Lack of trust due to bad review</t>
  </si>
  <si>
    <t>Reliance on bank connection for deposit</t>
  </si>
  <si>
    <t xml:space="preserve">Problems due current personal details experience </t>
  </si>
  <si>
    <t>---------------</t>
  </si>
  <si>
    <t>Having to link all of my bank account when I downloaded the app with a view of investing</t>
  </si>
  <si>
    <t>I wanted to set it up so it could tell me what it was going to remove from my account. Before I actually committed. But once set up it’ll start saving/ removing money straight away. There should be a monitoring period where you can see it’s calculations before committing</t>
  </si>
  <si>
    <t>Kept sending me emails and no initial information just wanted access to my bank account</t>
  </si>
  <si>
    <t>worried about. Giving my bank details for direct debit</t>
  </si>
  <si>
    <t>It is not letting me sight in</t>
  </si>
  <si>
    <t>I don't quite know what happened. It went as far confirming my bank details, and nothing happened after then.</t>
  </si>
  <si>
    <t>After I successfully share my bank account it says I'm being redirected back to my bank but it never does. It stops and does nothing</t>
  </si>
  <si>
    <t>I have tried about 20 times and it doesn't qork. Connects to my bank then nothing happens and won't let me progress. Given up now. Was recommended by a family member and they said it should work but I showed them it doesn't.</t>
  </si>
  <si>
    <t>I wanted to set Plum up. However, the link to my barclays Bank just did not work  It would connect, allo me to login and then nothing happened.</t>
  </si>
  <si>
    <t>Not available in Australia</t>
  </si>
  <si>
    <t>I lost Interest because the game was asking for code that I did not have.</t>
  </si>
  <si>
    <t>Too young 🤦‍♂️ you should be able to make a crypto account when you’re at least 14 what about young people who want to start investing?</t>
  </si>
  <si>
    <t>Wouldn’t let me finish setting up tried a few times but still couldn’t finish tried to get another email send but didn’t receive anything</t>
  </si>
  <si>
    <t>secondary reason</t>
  </si>
  <si>
    <t xml:space="preserve">Doesn't know how much will be debited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</si>
</sst>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yyyy h:mm:ss"/>
    <numFmt numFmtId="166" formatCode="&quot;£&quot;#,##0"/>
  </numFmts>
  <fonts count="20">
    <font>
      <sz val="10.0"/>
      <color rgb="FF000000"/>
      <name val="Arial"/>
      <scheme val="minor"/>
    </font>
    <font>
      <color rgb="FFFFFFFF"/>
      <name val="Arial"/>
      <scheme val="minor"/>
    </font>
    <font>
      <color theme="1"/>
      <name val="Arial"/>
    </font>
    <font>
      <color rgb="FF000000"/>
      <name val="Arial"/>
    </font>
    <font>
      <color theme="1"/>
      <name val="Arial"/>
      <scheme val="minor"/>
    </font>
    <font>
      <b/>
      <color rgb="FF000000"/>
      <name val="Arial"/>
    </font>
    <font>
      <b/>
      <color rgb="FF000000"/>
      <name val="Arial"/>
      <scheme val="minor"/>
    </font>
    <font>
      <color rgb="FF000000"/>
      <name val="Arial"/>
      <scheme val="minor"/>
    </font>
    <font>
      <sz val="10.0"/>
      <color theme="1"/>
      <name val="Arial"/>
      <scheme val="minor"/>
    </font>
    <font>
      <b/>
      <color theme="1"/>
      <name val="Arial"/>
      <scheme val="minor"/>
    </font>
    <font>
      <b/>
      <color theme="1"/>
      <name val="Arial"/>
    </font>
    <font>
      <sz val="10.0"/>
      <color theme="1"/>
      <name val="Arial"/>
    </font>
    <font>
      <b/>
      <sz val="10.0"/>
      <color theme="1"/>
      <name val="Arial"/>
    </font>
    <font>
      <sz val="10.0"/>
      <color rgb="FF000000"/>
      <name val="&quot;Helvetica Neue&quot;"/>
    </font>
    <font>
      <color rgb="FFCCCCCC"/>
      <name val="Arial"/>
      <scheme val="minor"/>
    </font>
    <font>
      <b/>
      <color rgb="FFCC0000"/>
      <name val="Arial"/>
    </font>
    <font>
      <color rgb="FFFFFFFF"/>
      <name val="Arial"/>
    </font>
    <font>
      <b/>
      <sz val="10.0"/>
      <color rgb="FF000000"/>
      <name val="&quot;Helvetica Neue&quot;"/>
    </font>
    <font>
      <sz val="10.0"/>
      <color rgb="FF000000"/>
      <name val="Arial"/>
    </font>
    <font>
      <b/>
      <color rgb="FFFFFFFF"/>
      <name val="Arial"/>
      <scheme val="minor"/>
    </font>
  </fonts>
  <fills count="8">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D966"/>
        <bgColor rgb="FFFFD966"/>
      </patternFill>
    </fill>
    <fill>
      <patternFill patternType="solid">
        <fgColor rgb="FFFFF2CC"/>
        <bgColor rgb="FFFFF2CC"/>
      </patternFill>
    </fill>
    <fill>
      <patternFill patternType="solid">
        <fgColor rgb="FFB0B3B2"/>
        <bgColor rgb="FFB0B3B2"/>
      </patternFill>
    </fill>
    <fill>
      <patternFill patternType="solid">
        <fgColor rgb="FF4A86E8"/>
        <bgColor rgb="FF4A86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readingOrder="0" shrinkToFit="0" vertical="center" wrapText="1"/>
    </xf>
    <xf borderId="0" fillId="2" fontId="1" numFmtId="0" xfId="0" applyAlignment="1" applyFont="1">
      <alignment vertical="center"/>
    </xf>
    <xf borderId="0" fillId="0" fontId="2" numFmtId="0" xfId="0" applyAlignment="1" applyFont="1">
      <alignment readingOrder="0" vertical="bottom"/>
    </xf>
    <xf borderId="0" fillId="3" fontId="3" numFmtId="0" xfId="0" applyAlignment="1" applyFill="1" applyFont="1">
      <alignment readingOrder="0" vertical="bottom"/>
    </xf>
    <xf borderId="0" fillId="3" fontId="3" numFmtId="164" xfId="0" applyAlignment="1" applyFont="1" applyNumberFormat="1">
      <alignment horizontal="right" vertical="bottom"/>
    </xf>
    <xf borderId="0" fillId="0" fontId="4" numFmtId="0" xfId="0" applyAlignment="1" applyFont="1">
      <alignment readingOrder="0"/>
    </xf>
    <xf borderId="0" fillId="0" fontId="2" numFmtId="0" xfId="0" applyAlignment="1" applyFont="1">
      <alignment horizontal="right" vertical="bottom"/>
    </xf>
    <xf borderId="0" fillId="0" fontId="4" numFmtId="164" xfId="0" applyFont="1" applyNumberFormat="1"/>
    <xf borderId="0" fillId="4" fontId="5" numFmtId="0" xfId="0" applyAlignment="1" applyFill="1" applyFont="1">
      <alignment horizontal="left" readingOrder="0" vertical="bottom"/>
    </xf>
    <xf borderId="0" fillId="4" fontId="5" numFmtId="164" xfId="0" applyAlignment="1" applyFont="1" applyNumberFormat="1">
      <alignment horizontal="right" vertical="bottom"/>
    </xf>
    <xf borderId="0" fillId="4" fontId="5" numFmtId="0" xfId="0" applyAlignment="1" applyFont="1">
      <alignment readingOrder="0" vertical="bottom"/>
    </xf>
    <xf borderId="0" fillId="4" fontId="5" numFmtId="164" xfId="0" applyAlignment="1" applyFont="1" applyNumberFormat="1">
      <alignment vertical="bottom"/>
    </xf>
    <xf borderId="0" fillId="0" fontId="2" numFmtId="0" xfId="0" applyAlignment="1" applyFont="1">
      <alignment vertical="bottom"/>
    </xf>
    <xf borderId="0" fillId="0" fontId="3" numFmtId="0" xfId="0" applyAlignment="1" applyFont="1">
      <alignment horizontal="left" readingOrder="0"/>
    </xf>
    <xf borderId="0" fillId="4" fontId="5" numFmtId="0" xfId="0" applyAlignment="1" applyFont="1">
      <alignment horizontal="left" readingOrder="0"/>
    </xf>
    <xf borderId="0" fillId="4" fontId="6" numFmtId="164" xfId="0" applyFont="1" applyNumberFormat="1"/>
    <xf borderId="0" fillId="3" fontId="7" numFmtId="0" xfId="0" applyAlignment="1" applyFont="1">
      <alignment readingOrder="0"/>
    </xf>
    <xf borderId="0" fillId="3" fontId="3" numFmtId="164" xfId="0" applyAlignment="1" applyFont="1" applyNumberFormat="1">
      <alignment vertical="bottom"/>
    </xf>
    <xf borderId="0" fillId="0" fontId="4" numFmtId="0" xfId="0" applyFont="1"/>
    <xf borderId="0" fillId="3" fontId="2" numFmtId="0" xfId="0" applyAlignment="1" applyFont="1">
      <alignment readingOrder="0" vertical="bottom"/>
    </xf>
    <xf borderId="0" fillId="3" fontId="2" numFmtId="164" xfId="0" applyAlignment="1" applyFont="1" applyNumberFormat="1">
      <alignment horizontal="right" vertical="bottom"/>
    </xf>
    <xf borderId="0" fillId="3" fontId="8" numFmtId="0" xfId="0" applyAlignment="1" applyFont="1">
      <alignment readingOrder="0"/>
    </xf>
    <xf borderId="0" fillId="3" fontId="4" numFmtId="0" xfId="0" applyAlignment="1" applyFont="1">
      <alignment readingOrder="0"/>
    </xf>
    <xf borderId="0" fillId="3" fontId="4" numFmtId="164" xfId="0" applyFont="1" applyNumberFormat="1"/>
    <xf borderId="0" fillId="4" fontId="9" numFmtId="0" xfId="0" applyAlignment="1" applyFont="1">
      <alignment readingOrder="0"/>
    </xf>
    <xf borderId="0" fillId="4" fontId="10" numFmtId="164" xfId="0" applyAlignment="1" applyFont="1" applyNumberFormat="1">
      <alignment vertical="bottom"/>
    </xf>
    <xf borderId="0" fillId="0" fontId="11" numFmtId="0" xfId="0" applyAlignment="1" applyFont="1">
      <alignment readingOrder="0" vertical="bottom"/>
    </xf>
    <xf borderId="0" fillId="4" fontId="12" numFmtId="0" xfId="0" applyAlignment="1" applyFont="1">
      <alignment readingOrder="0" vertical="bottom"/>
    </xf>
    <xf borderId="0" fillId="4" fontId="10" numFmtId="164" xfId="0" applyAlignment="1" applyFont="1" applyNumberFormat="1">
      <alignment horizontal="right" vertical="bottom"/>
    </xf>
    <xf borderId="0" fillId="3" fontId="3" numFmtId="0" xfId="0" applyAlignment="1" applyFont="1">
      <alignment horizontal="left" readingOrder="0"/>
    </xf>
    <xf borderId="0" fillId="0" fontId="2" numFmtId="164" xfId="0" applyAlignment="1" applyFont="1" applyNumberFormat="1">
      <alignment horizontal="right" vertical="bottom"/>
    </xf>
    <xf borderId="0" fillId="0" fontId="2" numFmtId="164" xfId="0" applyAlignment="1" applyFont="1" applyNumberFormat="1">
      <alignment vertical="bottom"/>
    </xf>
    <xf borderId="0" fillId="0" fontId="2" numFmtId="10" xfId="0" applyAlignment="1" applyFont="1" applyNumberFormat="1">
      <alignment readingOrder="0" vertical="bottom"/>
    </xf>
    <xf borderId="0" fillId="0" fontId="3" numFmtId="164" xfId="0" applyAlignment="1" applyFont="1" applyNumberFormat="1">
      <alignment horizontal="right" vertical="bottom"/>
    </xf>
    <xf borderId="0" fillId="4" fontId="13" numFmtId="0" xfId="0" applyAlignment="1" applyFont="1">
      <alignment readingOrder="0" shrinkToFit="0" vertical="top" wrapText="1"/>
    </xf>
    <xf borderId="0" fillId="4" fontId="14" numFmtId="164" xfId="0" applyFont="1" applyNumberFormat="1"/>
    <xf borderId="0" fillId="4" fontId="4" numFmtId="0" xfId="0" applyAlignment="1" applyFont="1">
      <alignment readingOrder="0"/>
    </xf>
    <xf borderId="0" fillId="4" fontId="4" numFmtId="0" xfId="0" applyFont="1"/>
    <xf borderId="0" fillId="4" fontId="2" numFmtId="0" xfId="0" applyAlignment="1" applyFont="1">
      <alignment readingOrder="0" vertical="bottom"/>
    </xf>
    <xf borderId="0" fillId="4" fontId="2" numFmtId="164" xfId="0" applyAlignment="1" applyFont="1" applyNumberFormat="1">
      <alignment horizontal="right" vertical="bottom"/>
    </xf>
    <xf borderId="0" fillId="4" fontId="2" numFmtId="0" xfId="0" applyAlignment="1" applyFont="1">
      <alignment horizontal="right" vertical="bottom"/>
    </xf>
    <xf borderId="0" fillId="4" fontId="4" numFmtId="164" xfId="0" applyFont="1" applyNumberFormat="1"/>
    <xf borderId="0" fillId="4" fontId="3" numFmtId="0" xfId="0" applyAlignment="1" applyFont="1">
      <alignment horizontal="left" readingOrder="0"/>
    </xf>
    <xf borderId="0" fillId="5" fontId="4" numFmtId="0" xfId="0" applyFill="1" applyFont="1"/>
    <xf borderId="0" fillId="0" fontId="15" numFmtId="164" xfId="0" applyAlignment="1" applyFont="1" applyNumberFormat="1">
      <alignment horizontal="right" vertical="bottom"/>
    </xf>
    <xf borderId="0" fillId="0" fontId="2" numFmtId="0" xfId="0" applyAlignment="1" applyFont="1">
      <alignment horizontal="right" readingOrder="0" vertical="bottom"/>
    </xf>
    <xf borderId="0" fillId="0" fontId="16" numFmtId="0" xfId="0" applyAlignment="1" applyFont="1">
      <alignment readingOrder="0" vertical="bottom"/>
    </xf>
    <xf borderId="0" fillId="0" fontId="1" numFmtId="164" xfId="0" applyFont="1" applyNumberFormat="1"/>
    <xf borderId="0" fillId="0" fontId="1" numFmtId="0" xfId="0" applyFont="1"/>
    <xf borderId="0" fillId="2" fontId="16" numFmtId="0" xfId="0" applyAlignment="1" applyFont="1">
      <alignment readingOrder="0" vertical="bottom"/>
    </xf>
    <xf borderId="0" fillId="2" fontId="1" numFmtId="164" xfId="0" applyFont="1" applyNumberFormat="1"/>
    <xf borderId="0" fillId="2" fontId="1" numFmtId="0" xfId="0" applyFont="1"/>
    <xf borderId="0" fillId="0" fontId="4" numFmtId="9" xfId="0" applyFont="1" applyNumberFormat="1"/>
    <xf borderId="0" fillId="0" fontId="8" numFmtId="0" xfId="0" applyAlignment="1" applyFont="1">
      <alignment readingOrder="0"/>
    </xf>
    <xf borderId="0" fillId="0" fontId="4" numFmtId="9" xfId="0" applyAlignment="1" applyFont="1" applyNumberFormat="1">
      <alignment readingOrder="0"/>
    </xf>
    <xf borderId="0" fillId="6" fontId="17" numFmtId="0" xfId="0" applyAlignment="1" applyFill="1" applyFont="1">
      <alignment readingOrder="0" shrinkToFit="0" vertical="top" wrapText="1"/>
    </xf>
    <xf borderId="1" fillId="6" fontId="17" numFmtId="0" xfId="0" applyAlignment="1" applyBorder="1" applyFont="1">
      <alignment readingOrder="0" shrinkToFit="0" vertical="top" wrapText="1"/>
    </xf>
    <xf borderId="1" fillId="0" fontId="13" numFmtId="0" xfId="0" applyAlignment="1" applyBorder="1" applyFont="1">
      <alignment readingOrder="0" shrinkToFit="0" vertical="top" wrapText="1"/>
    </xf>
    <xf borderId="0" fillId="0" fontId="13" numFmtId="0" xfId="0" applyAlignment="1" applyFont="1">
      <alignment readingOrder="0" shrinkToFit="0" vertical="top" wrapText="1"/>
    </xf>
    <xf borderId="1" fillId="0" fontId="8" numFmtId="0" xfId="0" applyAlignment="1" applyBorder="1" applyFont="1">
      <alignment readingOrder="0" shrinkToFit="0" vertical="top" wrapText="1"/>
    </xf>
    <xf borderId="0" fillId="0" fontId="11" numFmtId="0" xfId="0" applyAlignment="1" applyFont="1">
      <alignment vertical="bottom"/>
    </xf>
    <xf borderId="0" fillId="0" fontId="18" numFmtId="0" xfId="0" applyAlignment="1" applyFont="1">
      <alignment horizontal="left" readingOrder="0"/>
    </xf>
    <xf borderId="0" fillId="0" fontId="0" numFmtId="0" xfId="0" applyAlignment="1" applyFont="1">
      <alignment readingOrder="0" shrinkToFit="0" wrapText="1"/>
    </xf>
    <xf borderId="0" fillId="0" fontId="8" numFmtId="0" xfId="0" applyAlignment="1" applyFont="1">
      <alignment shrinkToFit="0" wrapText="1"/>
    </xf>
    <xf borderId="0" fillId="7" fontId="19" numFmtId="0" xfId="0" applyAlignment="1" applyFill="1" applyFont="1">
      <alignment readingOrder="0"/>
    </xf>
    <xf borderId="0" fillId="0" fontId="19" numFmtId="0" xfId="0" applyAlignment="1" applyFont="1">
      <alignment readingOrder="0"/>
    </xf>
    <xf borderId="0" fillId="0" fontId="9" numFmtId="0" xfId="0" applyAlignment="1" applyFont="1">
      <alignment readingOrder="0"/>
    </xf>
    <xf borderId="0" fillId="0" fontId="9" numFmtId="0" xfId="0" applyAlignment="1" applyFont="1">
      <alignment readingOrder="0" shrinkToFit="0" wrapText="1"/>
    </xf>
    <xf borderId="0" fillId="0" fontId="9" numFmtId="0" xfId="0" applyFont="1"/>
    <xf borderId="0" fillId="0" fontId="4" numFmtId="0" xfId="0" applyAlignment="1" applyFont="1">
      <alignment readingOrder="0" shrinkToFit="0" wrapText="1"/>
    </xf>
    <xf borderId="0" fillId="0" fontId="4" numFmtId="0" xfId="0" applyAlignment="1" applyFont="1">
      <alignment shrinkToFit="0" wrapText="1"/>
    </xf>
    <xf borderId="0" fillId="0" fontId="10" numFmtId="0" xfId="0" applyAlignment="1" applyFont="1">
      <alignment vertical="bottom"/>
    </xf>
    <xf borderId="0" fillId="0" fontId="2" numFmtId="165" xfId="0" applyAlignment="1" applyFont="1" applyNumberFormat="1">
      <alignment horizontal="right" vertical="bottom"/>
    </xf>
    <xf borderId="0" fillId="0" fontId="2" numFmtId="0" xfId="0" applyAlignment="1" applyFont="1">
      <alignment shrinkToFit="0" vertical="bottom" wrapText="0"/>
    </xf>
    <xf borderId="0" fillId="0" fontId="2" numFmtId="166" xfId="0" applyAlignment="1" applyFont="1" applyNumberFormat="1">
      <alignment vertical="bottom"/>
    </xf>
    <xf borderId="0" fillId="0" fontId="2" numFmtId="10" xfId="0" applyAlignment="1" applyFont="1" applyNumberFormat="1">
      <alignment vertical="bottom"/>
    </xf>
    <xf borderId="0" fillId="3" fontId="5" numFmtId="0" xfId="0" applyAlignment="1" applyFont="1">
      <alignment horizontal="left" readingOrder="0"/>
    </xf>
    <xf borderId="0" fillId="0" fontId="9" numFmtId="9" xfId="0" applyFont="1" applyNumberFormat="1"/>
    <xf borderId="0" fillId="2" fontId="19" numFmtId="0" xfId="0" applyAlignment="1" applyFont="1">
      <alignment readingOrder="0"/>
    </xf>
    <xf borderId="0" fillId="0" fontId="9"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vs. Reason to not convert</a:t>
            </a:r>
          </a:p>
        </c:rich>
      </c:tx>
      <c:overlay val="0"/>
    </c:title>
    <c:plotArea>
      <c:layout>
        <c:manualLayout>
          <c:xMode val="edge"/>
          <c:yMode val="edge"/>
          <c:x val="0.5426401869158879"/>
          <c:y val="0.12114051669817272"/>
          <c:w val="0.4264602803738317"/>
          <c:h val="0.738122243226213"/>
        </c:manualLayout>
      </c:layout>
      <c:barChart>
        <c:barDir val="bar"/>
        <c:ser>
          <c:idx val="0"/>
          <c:order val="0"/>
          <c:tx>
            <c:strRef>
              <c:f>Analysis!$C$1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Analysis!$B$2:$B$24</c:f>
            </c:strRef>
          </c:cat>
          <c:val>
            <c:numRef>
              <c:f>Analysis!$C$2:$C$24</c:f>
              <c:numCache/>
            </c:numRef>
          </c:val>
        </c:ser>
        <c:axId val="1205369298"/>
        <c:axId val="1894313799"/>
      </c:barChart>
      <c:catAx>
        <c:axId val="12053692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Reason to not convert</a:t>
                </a:r>
              </a:p>
            </c:rich>
          </c:tx>
          <c:overlay val="0"/>
        </c:title>
        <c:numFmt formatCode="General" sourceLinked="1"/>
        <c:majorTickMark val="none"/>
        <c:minorTickMark val="none"/>
        <c:spPr/>
        <c:txPr>
          <a:bodyPr/>
          <a:lstStyle/>
          <a:p>
            <a:pPr lvl="0">
              <a:defRPr b="0">
                <a:solidFill>
                  <a:srgbClr val="000000"/>
                </a:solidFill>
                <a:latin typeface="+mn-lt"/>
              </a:defRPr>
            </a:pPr>
          </a:p>
        </c:txPr>
        <c:crossAx val="1894313799"/>
      </c:catAx>
      <c:valAx>
        <c:axId val="18943137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5369298"/>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Reasons to not convert by product fundamentals</a:t>
            </a:r>
          </a:p>
        </c:rich>
      </c:tx>
      <c:overlay val="0"/>
    </c:title>
    <c:plotArea>
      <c:layout/>
      <c:barChart>
        <c:barDir val="bar"/>
        <c:ser>
          <c:idx val="0"/>
          <c:order val="0"/>
          <c:tx>
            <c:strRef>
              <c:f>Analysis!$C$40</c:f>
            </c:strRef>
          </c:tx>
          <c:spPr>
            <a:solidFill>
              <a:schemeClr val="accent1"/>
            </a:solidFill>
            <a:ln cmpd="sng">
              <a:solidFill>
                <a:srgbClr val="000000"/>
              </a:solidFill>
            </a:ln>
          </c:spPr>
          <c:cat>
            <c:strRef>
              <c:f>Analysis!$B$41:$B$46</c:f>
            </c:strRef>
          </c:cat>
          <c:val>
            <c:numRef>
              <c:f>Analysis!$C$41:$C$46</c:f>
              <c:numCache/>
            </c:numRef>
          </c:val>
        </c:ser>
        <c:axId val="1534851842"/>
        <c:axId val="1507730788"/>
      </c:barChart>
      <c:catAx>
        <c:axId val="15348518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Reasons to not convert by product fundamentals</a:t>
                </a:r>
              </a:p>
            </c:rich>
          </c:tx>
          <c:overlay val="0"/>
        </c:title>
        <c:numFmt formatCode="General" sourceLinked="1"/>
        <c:majorTickMark val="none"/>
        <c:minorTickMark val="none"/>
        <c:spPr/>
        <c:txPr>
          <a:bodyPr/>
          <a:lstStyle/>
          <a:p>
            <a:pPr lvl="0">
              <a:defRPr b="0">
                <a:solidFill>
                  <a:srgbClr val="000000"/>
                </a:solidFill>
                <a:latin typeface="+mn-lt"/>
              </a:defRPr>
            </a:pPr>
          </a:p>
        </c:txPr>
        <c:crossAx val="1507730788"/>
      </c:catAx>
      <c:valAx>
        <c:axId val="15077307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485184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895350</xdr:colOff>
      <xdr:row>3</xdr:row>
      <xdr:rowOff>28575</xdr:rowOff>
    </xdr:from>
    <xdr:ext cx="8153400" cy="5038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123825</xdr:colOff>
      <xdr:row>3</xdr:row>
      <xdr:rowOff>28575</xdr:rowOff>
    </xdr:from>
    <xdr:ext cx="7400925" cy="45815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72.5"/>
    <col customWidth="1" min="4" max="4" width="17.13"/>
    <col customWidth="1" min="5" max="5" width="13.75"/>
    <col customWidth="1" min="6" max="6" width="15.13"/>
  </cols>
  <sheetData>
    <row r="1">
      <c r="A1" s="1" t="s">
        <v>0</v>
      </c>
      <c r="B1" s="1" t="s">
        <v>1</v>
      </c>
      <c r="C1" s="1" t="s">
        <v>2</v>
      </c>
      <c r="D1" s="1" t="s">
        <v>3</v>
      </c>
      <c r="E1" s="2" t="s">
        <v>4</v>
      </c>
      <c r="F1" s="2" t="s">
        <v>5</v>
      </c>
      <c r="G1" s="3"/>
      <c r="H1" s="3"/>
      <c r="I1" s="3"/>
      <c r="J1" s="3"/>
      <c r="K1" s="3"/>
      <c r="L1" s="3"/>
      <c r="M1" s="3"/>
      <c r="N1" s="3"/>
      <c r="O1" s="3"/>
      <c r="P1" s="3"/>
      <c r="Q1" s="3"/>
      <c r="R1" s="3"/>
      <c r="S1" s="3"/>
      <c r="T1" s="3"/>
      <c r="U1" s="3"/>
      <c r="V1" s="3"/>
      <c r="W1" s="3"/>
      <c r="X1" s="3"/>
      <c r="Y1" s="3"/>
      <c r="Z1" s="3"/>
    </row>
    <row r="2">
      <c r="A2" s="4" t="s">
        <v>6</v>
      </c>
      <c r="B2" s="5" t="s">
        <v>7</v>
      </c>
      <c r="C2" s="6">
        <f>D2/D34</f>
        <v>0.1629834254</v>
      </c>
      <c r="D2" s="7">
        <f t="shared" ref="D2:D6" si="1">sum(E2+F2)</f>
        <v>59</v>
      </c>
      <c r="E2" s="8">
        <v>33.0</v>
      </c>
      <c r="F2" s="7">
        <v>26.0</v>
      </c>
      <c r="H2" s="9">
        <f>C2+C3+C4+C6+C11+C18+C20</f>
        <v>0.5110497238</v>
      </c>
    </row>
    <row r="3">
      <c r="A3" s="4" t="s">
        <v>6</v>
      </c>
      <c r="B3" s="5" t="s">
        <v>8</v>
      </c>
      <c r="C3" s="6">
        <f>D3/D34</f>
        <v>0.135359116</v>
      </c>
      <c r="D3" s="7">
        <f t="shared" si="1"/>
        <v>49</v>
      </c>
      <c r="E3" s="8">
        <v>21.0</v>
      </c>
      <c r="F3" s="7">
        <v>28.0</v>
      </c>
    </row>
    <row r="4">
      <c r="A4" s="4" t="s">
        <v>6</v>
      </c>
      <c r="B4" s="5" t="s">
        <v>9</v>
      </c>
      <c r="C4" s="6">
        <f>D4/D34</f>
        <v>0.09392265193</v>
      </c>
      <c r="D4" s="7">
        <f t="shared" si="1"/>
        <v>34</v>
      </c>
      <c r="E4" s="8">
        <v>8.0</v>
      </c>
      <c r="F4" s="7">
        <v>26.0</v>
      </c>
    </row>
    <row r="5">
      <c r="A5" s="4" t="s">
        <v>6</v>
      </c>
      <c r="B5" s="10" t="s">
        <v>10</v>
      </c>
      <c r="C5" s="11">
        <f>D5/D34</f>
        <v>0.0773480663</v>
      </c>
      <c r="D5" s="7">
        <f t="shared" si="1"/>
        <v>28</v>
      </c>
      <c r="E5" s="8">
        <v>6.0</v>
      </c>
      <c r="F5" s="7">
        <v>22.0</v>
      </c>
    </row>
    <row r="6">
      <c r="A6" s="4" t="s">
        <v>6</v>
      </c>
      <c r="B6" s="5" t="s">
        <v>11</v>
      </c>
      <c r="C6" s="6">
        <f>D6/D34</f>
        <v>0.06906077348</v>
      </c>
      <c r="D6" s="7">
        <f t="shared" si="1"/>
        <v>25</v>
      </c>
      <c r="E6" s="8">
        <v>3.0</v>
      </c>
      <c r="F6" s="7">
        <v>22.0</v>
      </c>
    </row>
    <row r="7">
      <c r="A7" s="4" t="s">
        <v>6</v>
      </c>
      <c r="B7" s="12" t="s">
        <v>12</v>
      </c>
      <c r="C7" s="13">
        <f>D7/D34</f>
        <v>0.05524861878</v>
      </c>
      <c r="D7" s="7">
        <f>sum(F7)</f>
        <v>20</v>
      </c>
      <c r="E7" s="14"/>
      <c r="F7" s="7">
        <v>20.0</v>
      </c>
    </row>
    <row r="8">
      <c r="A8" s="15" t="s">
        <v>13</v>
      </c>
      <c r="B8" s="16" t="s">
        <v>14</v>
      </c>
      <c r="C8" s="17">
        <f>D8/D34</f>
        <v>0.03591160221</v>
      </c>
      <c r="D8" s="7">
        <f>sum(F8+E8)</f>
        <v>13</v>
      </c>
      <c r="F8" s="7">
        <v>13.0</v>
      </c>
    </row>
    <row r="9">
      <c r="A9" s="4" t="s">
        <v>6</v>
      </c>
      <c r="B9" s="18" t="s">
        <v>15</v>
      </c>
      <c r="C9" s="19">
        <f>D9/D34</f>
        <v>0.03314917127</v>
      </c>
      <c r="D9" s="20">
        <f>sum(F9)</f>
        <v>12</v>
      </c>
      <c r="E9" s="14"/>
      <c r="F9" s="7">
        <v>12.0</v>
      </c>
    </row>
    <row r="10">
      <c r="A10" s="4" t="s">
        <v>16</v>
      </c>
      <c r="B10" s="5" t="s">
        <v>17</v>
      </c>
      <c r="C10" s="6">
        <f>D10/D34</f>
        <v>0.02762430939</v>
      </c>
      <c r="D10" s="7">
        <f t="shared" ref="D10:D11" si="2">sum(E10+F10)</f>
        <v>10</v>
      </c>
      <c r="E10" s="8">
        <v>3.0</v>
      </c>
      <c r="F10" s="7">
        <v>7.0</v>
      </c>
    </row>
    <row r="11">
      <c r="A11" s="4" t="s">
        <v>6</v>
      </c>
      <c r="B11" s="21" t="s">
        <v>18</v>
      </c>
      <c r="C11" s="22">
        <f>D11/D34</f>
        <v>0.02486187845</v>
      </c>
      <c r="D11" s="7">
        <f t="shared" si="2"/>
        <v>9</v>
      </c>
      <c r="E11" s="8">
        <v>2.0</v>
      </c>
      <c r="F11" s="7">
        <v>7.0</v>
      </c>
    </row>
    <row r="12">
      <c r="A12" s="4" t="s">
        <v>6</v>
      </c>
      <c r="B12" s="23" t="s">
        <v>19</v>
      </c>
      <c r="C12" s="22">
        <f>D12/D34</f>
        <v>0.02486187845</v>
      </c>
      <c r="D12" s="7">
        <v>9.0</v>
      </c>
      <c r="E12" s="8"/>
      <c r="F12" s="7">
        <v>9.0</v>
      </c>
    </row>
    <row r="13">
      <c r="A13" s="4" t="s">
        <v>6</v>
      </c>
      <c r="B13" s="24" t="s">
        <v>20</v>
      </c>
      <c r="C13" s="25">
        <f>D13/D34</f>
        <v>0.02486187845</v>
      </c>
      <c r="D13" s="7">
        <f>sum(F13)</f>
        <v>9</v>
      </c>
      <c r="F13" s="7">
        <v>9.0</v>
      </c>
    </row>
    <row r="14">
      <c r="A14" s="7" t="s">
        <v>21</v>
      </c>
      <c r="B14" s="26" t="s">
        <v>22</v>
      </c>
      <c r="C14" s="27">
        <f>D14/D34</f>
        <v>0.02209944751</v>
      </c>
      <c r="D14" s="7">
        <f t="shared" ref="D14:D15" si="3">sum(E14+F14)</f>
        <v>8</v>
      </c>
      <c r="E14" s="14"/>
      <c r="F14" s="7">
        <v>8.0</v>
      </c>
    </row>
    <row r="15">
      <c r="A15" s="28" t="s">
        <v>23</v>
      </c>
      <c r="B15" s="29" t="s">
        <v>24</v>
      </c>
      <c r="C15" s="30">
        <f>D15/D34</f>
        <v>0.01933701657</v>
      </c>
      <c r="D15" s="7">
        <f t="shared" si="3"/>
        <v>7</v>
      </c>
      <c r="E15" s="8">
        <v>1.0</v>
      </c>
      <c r="F15" s="7">
        <v>6.0</v>
      </c>
    </row>
    <row r="16">
      <c r="A16" s="4" t="s">
        <v>6</v>
      </c>
      <c r="B16" s="21" t="s">
        <v>25</v>
      </c>
      <c r="C16" s="22">
        <f>D16/D34</f>
        <v>0.01657458564</v>
      </c>
      <c r="D16" s="7">
        <f t="shared" ref="D16:D17" si="4">SUM(E16:F16)</f>
        <v>6</v>
      </c>
      <c r="E16" s="8">
        <v>3.0</v>
      </c>
      <c r="F16" s="7">
        <v>3.0</v>
      </c>
    </row>
    <row r="17">
      <c r="A17" s="4" t="s">
        <v>6</v>
      </c>
      <c r="B17" s="21" t="s">
        <v>26</v>
      </c>
      <c r="C17" s="22">
        <f>D17/D34</f>
        <v>0.01657458564</v>
      </c>
      <c r="D17" s="7">
        <f t="shared" si="4"/>
        <v>6</v>
      </c>
      <c r="E17" s="8">
        <v>3.0</v>
      </c>
      <c r="F17" s="7">
        <v>3.0</v>
      </c>
    </row>
    <row r="18">
      <c r="A18" s="4" t="s">
        <v>6</v>
      </c>
      <c r="B18" s="24" t="s">
        <v>27</v>
      </c>
      <c r="C18" s="25">
        <f>D18/D34</f>
        <v>0.0138121547</v>
      </c>
      <c r="D18" s="7">
        <v>5.0</v>
      </c>
      <c r="F18" s="7">
        <v>5.0</v>
      </c>
    </row>
    <row r="19">
      <c r="A19" s="4" t="s">
        <v>6</v>
      </c>
      <c r="B19" s="21" t="s">
        <v>28</v>
      </c>
      <c r="C19" s="25">
        <f>D19/D34</f>
        <v>0.0138121547</v>
      </c>
      <c r="D19" s="7">
        <v>5.0</v>
      </c>
      <c r="E19" s="7">
        <v>5.0</v>
      </c>
      <c r="F19" s="7"/>
    </row>
    <row r="20">
      <c r="A20" s="4" t="s">
        <v>6</v>
      </c>
      <c r="B20" s="21" t="s">
        <v>29</v>
      </c>
      <c r="C20" s="22">
        <f>D20/D34</f>
        <v>0.01104972376</v>
      </c>
      <c r="D20" s="7">
        <f>SUM(E20:F20)</f>
        <v>4</v>
      </c>
      <c r="E20" s="8">
        <v>2.0</v>
      </c>
      <c r="F20" s="7">
        <v>2.0</v>
      </c>
    </row>
    <row r="21">
      <c r="A21" s="4" t="s">
        <v>6</v>
      </c>
      <c r="B21" s="7" t="s">
        <v>30</v>
      </c>
      <c r="C21" s="9">
        <f>D21/D34</f>
        <v>0.01104972376</v>
      </c>
      <c r="D21" s="7">
        <v>4.0</v>
      </c>
      <c r="F21" s="7">
        <v>4.0</v>
      </c>
    </row>
    <row r="22">
      <c r="A22" s="15" t="s">
        <v>13</v>
      </c>
      <c r="B22" s="31" t="s">
        <v>31</v>
      </c>
      <c r="C22" s="9">
        <f>D22/D34</f>
        <v>0.01104972376</v>
      </c>
      <c r="D22" s="7">
        <v>4.0</v>
      </c>
      <c r="F22" s="7">
        <v>4.0</v>
      </c>
    </row>
    <row r="23">
      <c r="A23" s="4" t="s">
        <v>6</v>
      </c>
      <c r="B23" s="4" t="s">
        <v>32</v>
      </c>
      <c r="C23" s="32">
        <f>D23/D34</f>
        <v>0.008287292818</v>
      </c>
      <c r="D23" s="7">
        <v>3.0</v>
      </c>
      <c r="E23" s="8"/>
      <c r="F23" s="7">
        <v>3.0</v>
      </c>
    </row>
    <row r="24">
      <c r="A24" s="14"/>
      <c r="B24" s="14" t="s">
        <v>33</v>
      </c>
      <c r="C24" s="32">
        <f>D24/D34</f>
        <v>0.07182320442</v>
      </c>
      <c r="D24" s="7">
        <v>26.0</v>
      </c>
      <c r="E24" s="8">
        <v>5.0</v>
      </c>
      <c r="F24" s="7">
        <v>16.0</v>
      </c>
    </row>
    <row r="25">
      <c r="A25" s="14"/>
      <c r="B25" s="14"/>
      <c r="C25" s="9"/>
      <c r="F25" s="7"/>
    </row>
    <row r="26">
      <c r="C26" s="32"/>
      <c r="E26" s="8"/>
    </row>
    <row r="27">
      <c r="A27" s="24"/>
      <c r="B27" s="24"/>
      <c r="C27" s="33"/>
      <c r="E27" s="34"/>
    </row>
    <row r="28">
      <c r="C28" s="35"/>
      <c r="E28" s="8"/>
    </row>
    <row r="29">
      <c r="A29" s="36"/>
      <c r="B29" s="36" t="s">
        <v>34</v>
      </c>
      <c r="C29" s="37"/>
      <c r="D29" s="38">
        <v>40.0</v>
      </c>
      <c r="E29" s="39"/>
      <c r="F29" s="38">
        <v>40.0</v>
      </c>
    </row>
    <row r="30">
      <c r="A30" s="40"/>
      <c r="B30" s="40" t="s">
        <v>35</v>
      </c>
      <c r="C30" s="41"/>
      <c r="D30" s="38">
        <v>7.0</v>
      </c>
      <c r="E30" s="42"/>
      <c r="F30" s="38">
        <v>7.0</v>
      </c>
      <c r="G30" s="7" t="s">
        <v>36</v>
      </c>
    </row>
    <row r="31">
      <c r="A31" s="38"/>
      <c r="B31" s="38" t="s">
        <v>37</v>
      </c>
      <c r="C31" s="43"/>
      <c r="D31" s="38">
        <v>8.0</v>
      </c>
      <c r="E31" s="39"/>
      <c r="F31" s="38">
        <v>8.0</v>
      </c>
    </row>
    <row r="32">
      <c r="A32" s="44"/>
      <c r="B32" s="44" t="s">
        <v>38</v>
      </c>
      <c r="C32" s="41"/>
      <c r="D32" s="38">
        <v>7.0</v>
      </c>
      <c r="E32" s="42"/>
      <c r="F32" s="38">
        <v>7.0</v>
      </c>
    </row>
    <row r="33">
      <c r="C33" s="33"/>
      <c r="E33" s="14"/>
    </row>
    <row r="34">
      <c r="A34" s="7"/>
      <c r="B34" s="7" t="s">
        <v>39</v>
      </c>
      <c r="C34" s="9"/>
      <c r="D34" s="45">
        <f>sum(E34+F34-D30-D31-D32-D29)</f>
        <v>362</v>
      </c>
      <c r="E34" s="7">
        <v>91.0</v>
      </c>
      <c r="F34" s="7">
        <v>333.0</v>
      </c>
    </row>
    <row r="35">
      <c r="A35" s="7"/>
      <c r="B35" s="7" t="s">
        <v>40</v>
      </c>
      <c r="C35" s="9"/>
      <c r="F35" s="7">
        <v>10.0</v>
      </c>
    </row>
    <row r="36">
      <c r="A36" s="14"/>
      <c r="B36" s="14"/>
      <c r="C36" s="9"/>
    </row>
    <row r="37">
      <c r="A37" s="4"/>
      <c r="B37" s="4" t="s">
        <v>41</v>
      </c>
      <c r="C37" s="9"/>
    </row>
    <row r="38">
      <c r="A38" s="4"/>
      <c r="B38" s="4" t="s">
        <v>42</v>
      </c>
      <c r="C38" s="46">
        <f>D38/D34</f>
        <v>0.4723756906</v>
      </c>
      <c r="D38" s="7">
        <f>sum(F38+E38)</f>
        <v>171</v>
      </c>
      <c r="E38" s="47">
        <f t="shared" ref="E38:F38" si="5">sum(E3+E2+E4+E6+E20)</f>
        <v>67</v>
      </c>
      <c r="F38" s="20">
        <f t="shared" si="5"/>
        <v>104</v>
      </c>
    </row>
    <row r="39">
      <c r="A39" s="48"/>
      <c r="B39" s="48"/>
      <c r="C39" s="49"/>
      <c r="D39" s="50"/>
      <c r="E39" s="50"/>
      <c r="F39" s="50"/>
      <c r="G39" s="50"/>
      <c r="H39" s="50"/>
      <c r="I39" s="50"/>
      <c r="J39" s="50"/>
      <c r="K39" s="50"/>
      <c r="L39" s="50"/>
      <c r="M39" s="50"/>
      <c r="N39" s="50"/>
      <c r="O39" s="50"/>
      <c r="P39" s="50"/>
      <c r="Q39" s="50"/>
      <c r="R39" s="50"/>
      <c r="S39" s="50"/>
      <c r="T39" s="50"/>
      <c r="U39" s="50"/>
      <c r="V39" s="50"/>
      <c r="W39" s="50"/>
      <c r="X39" s="50"/>
      <c r="Y39" s="50"/>
      <c r="Z39" s="50"/>
    </row>
    <row r="40">
      <c r="A40" s="51"/>
      <c r="B40" s="51" t="s">
        <v>43</v>
      </c>
      <c r="C40" s="52"/>
      <c r="D40" s="53"/>
      <c r="E40" s="53"/>
      <c r="F40" s="53"/>
      <c r="G40" s="53"/>
      <c r="H40" s="53"/>
      <c r="I40" s="53"/>
      <c r="J40" s="53"/>
      <c r="K40" s="53"/>
      <c r="L40" s="53"/>
      <c r="M40" s="53"/>
      <c r="N40" s="53"/>
      <c r="O40" s="53"/>
      <c r="P40" s="53"/>
      <c r="Q40" s="53"/>
      <c r="R40" s="53"/>
      <c r="S40" s="53"/>
      <c r="T40" s="53"/>
      <c r="U40" s="53"/>
      <c r="V40" s="53"/>
      <c r="W40" s="53"/>
      <c r="X40" s="53"/>
      <c r="Y40" s="53"/>
      <c r="Z40" s="53"/>
    </row>
    <row r="41">
      <c r="A41" s="7"/>
      <c r="B41" s="7" t="s">
        <v>6</v>
      </c>
      <c r="C41" s="54">
        <f>C2+C3+C4+C5+C6+C7+C9+C11+C12+C13+C16+C17+C18+C19+C20+C21+C22+C24</f>
        <v>0.8674033149</v>
      </c>
    </row>
    <row r="42">
      <c r="A42" s="55"/>
      <c r="B42" s="55" t="s">
        <v>44</v>
      </c>
      <c r="C42" s="56">
        <f>C8+C22</f>
        <v>0.04696132597</v>
      </c>
    </row>
    <row r="43">
      <c r="A43" s="55"/>
      <c r="B43" s="55" t="s">
        <v>16</v>
      </c>
      <c r="C43" s="54">
        <f>C10</f>
        <v>0.02762430939</v>
      </c>
    </row>
    <row r="44">
      <c r="A44" s="55"/>
      <c r="B44" s="55" t="s">
        <v>21</v>
      </c>
      <c r="C44" s="56">
        <f t="shared" ref="C44:C45" si="6">C14</f>
        <v>0.02209944751</v>
      </c>
    </row>
    <row r="45">
      <c r="A45" s="55"/>
      <c r="B45" s="55" t="s">
        <v>23</v>
      </c>
      <c r="C45" s="56">
        <f t="shared" si="6"/>
        <v>0.01933701657</v>
      </c>
    </row>
    <row r="46">
      <c r="A46" s="31"/>
      <c r="B46" s="31" t="s">
        <v>45</v>
      </c>
      <c r="C46" s="56">
        <v>0.0</v>
      </c>
    </row>
    <row r="47">
      <c r="A47" s="55"/>
      <c r="B47" s="55"/>
      <c r="C47" s="9"/>
    </row>
    <row r="48">
      <c r="A48" s="7"/>
      <c r="C48" s="9"/>
    </row>
    <row r="49">
      <c r="A49" s="7"/>
      <c r="C49" s="9"/>
    </row>
    <row r="50">
      <c r="C50" s="9"/>
    </row>
    <row r="51">
      <c r="C51" s="9"/>
    </row>
    <row r="52">
      <c r="A52" s="7"/>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sheetData>
  <autoFilter ref="$A$1:$F$24"/>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F9" s="7">
        <v>1000.0</v>
      </c>
      <c r="G9" s="7">
        <v>800.0</v>
      </c>
    </row>
    <row r="12">
      <c r="F12" s="7" t="s">
        <v>46</v>
      </c>
      <c r="G12" s="20">
        <f>F9/G9</f>
        <v>1.25</v>
      </c>
      <c r="H12" s="7">
        <v>2.0</v>
      </c>
      <c r="I12" s="7">
        <v>5.0</v>
      </c>
      <c r="J12" s="7">
        <v>15.0</v>
      </c>
    </row>
    <row r="13">
      <c r="G13" s="20">
        <f t="shared" ref="G13:J13" si="1">G12^0.25</f>
        <v>1.057371263</v>
      </c>
      <c r="H13" s="20">
        <f t="shared" si="1"/>
        <v>1.189207115</v>
      </c>
      <c r="I13" s="20">
        <f t="shared" si="1"/>
        <v>1.495348781</v>
      </c>
      <c r="J13" s="20">
        <f t="shared" si="1"/>
        <v>1.967989671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5"/>
    <col customWidth="1" min="3" max="3" width="18.13"/>
    <col customWidth="1" min="4" max="4" width="48.25"/>
    <col customWidth="1" min="5" max="5" width="80.13"/>
  </cols>
  <sheetData>
    <row r="1">
      <c r="A1" s="57"/>
      <c r="B1" s="57"/>
      <c r="C1" s="57" t="s">
        <v>47</v>
      </c>
      <c r="D1" s="58" t="s">
        <v>48</v>
      </c>
      <c r="E1" s="58" t="s">
        <v>49</v>
      </c>
    </row>
    <row r="2">
      <c r="A2" s="28">
        <v>1.0</v>
      </c>
      <c r="B2" s="28" t="s">
        <v>50</v>
      </c>
      <c r="C2" s="28" t="s">
        <v>6</v>
      </c>
      <c r="D2" s="28" t="s">
        <v>12</v>
      </c>
      <c r="E2" s="59" t="s">
        <v>51</v>
      </c>
    </row>
    <row r="3">
      <c r="A3" s="28">
        <v>1.0</v>
      </c>
      <c r="B3" s="28" t="s">
        <v>50</v>
      </c>
      <c r="C3" s="28" t="s">
        <v>33</v>
      </c>
      <c r="D3" s="60" t="s">
        <v>52</v>
      </c>
      <c r="E3" s="61" t="s">
        <v>53</v>
      </c>
    </row>
    <row r="4">
      <c r="A4" s="28">
        <v>2.0</v>
      </c>
      <c r="B4" s="28" t="s">
        <v>50</v>
      </c>
      <c r="C4" s="55" t="s">
        <v>33</v>
      </c>
      <c r="D4" s="55" t="s">
        <v>15</v>
      </c>
      <c r="E4" s="59" t="s">
        <v>54</v>
      </c>
    </row>
    <row r="5">
      <c r="A5" s="28">
        <v>3.0</v>
      </c>
      <c r="B5" s="28" t="s">
        <v>50</v>
      </c>
      <c r="C5" s="28" t="s">
        <v>33</v>
      </c>
      <c r="D5" s="62" t="s">
        <v>33</v>
      </c>
      <c r="E5" s="59" t="s">
        <v>55</v>
      </c>
    </row>
    <row r="6">
      <c r="A6" s="28">
        <v>4.0</v>
      </c>
      <c r="B6" s="28" t="s">
        <v>50</v>
      </c>
      <c r="C6" s="28" t="s">
        <v>33</v>
      </c>
      <c r="D6" s="62" t="s">
        <v>33</v>
      </c>
      <c r="E6" s="59" t="s">
        <v>56</v>
      </c>
    </row>
    <row r="7">
      <c r="A7" s="28">
        <v>5.0</v>
      </c>
      <c r="B7" s="28" t="s">
        <v>50</v>
      </c>
      <c r="C7" s="28" t="s">
        <v>33</v>
      </c>
      <c r="D7" s="62" t="s">
        <v>33</v>
      </c>
      <c r="E7" s="59" t="s">
        <v>57</v>
      </c>
    </row>
    <row r="8">
      <c r="A8" s="28">
        <v>2.0</v>
      </c>
      <c r="B8" s="28" t="s">
        <v>50</v>
      </c>
      <c r="C8" s="28" t="s">
        <v>6</v>
      </c>
      <c r="D8" s="62" t="s">
        <v>58</v>
      </c>
      <c r="E8" s="59" t="s">
        <v>59</v>
      </c>
    </row>
    <row r="9">
      <c r="A9" s="28">
        <v>3.0</v>
      </c>
      <c r="B9" s="28" t="s">
        <v>50</v>
      </c>
      <c r="C9" s="28" t="s">
        <v>6</v>
      </c>
      <c r="D9" s="62" t="s">
        <v>11</v>
      </c>
      <c r="E9" s="59" t="s">
        <v>60</v>
      </c>
    </row>
    <row r="10">
      <c r="A10" s="28">
        <v>4.0</v>
      </c>
      <c r="B10" s="28" t="s">
        <v>50</v>
      </c>
      <c r="C10" s="28" t="s">
        <v>6</v>
      </c>
      <c r="D10" s="4" t="s">
        <v>61</v>
      </c>
      <c r="E10" s="59" t="s">
        <v>62</v>
      </c>
    </row>
    <row r="11">
      <c r="A11" s="28">
        <v>5.0</v>
      </c>
      <c r="B11" s="28" t="s">
        <v>50</v>
      </c>
      <c r="C11" s="28" t="s">
        <v>6</v>
      </c>
      <c r="D11" s="4" t="s">
        <v>63</v>
      </c>
      <c r="E11" s="59" t="s">
        <v>64</v>
      </c>
    </row>
    <row r="12">
      <c r="A12" s="28">
        <v>6.0</v>
      </c>
      <c r="B12" s="28" t="s">
        <v>50</v>
      </c>
      <c r="C12" s="28" t="s">
        <v>6</v>
      </c>
      <c r="D12" s="55" t="s">
        <v>20</v>
      </c>
      <c r="E12" s="59" t="s">
        <v>65</v>
      </c>
    </row>
    <row r="13">
      <c r="A13" s="28">
        <v>7.0</v>
      </c>
      <c r="B13" s="28" t="s">
        <v>50</v>
      </c>
      <c r="C13" s="28" t="s">
        <v>6</v>
      </c>
      <c r="D13" s="55" t="s">
        <v>20</v>
      </c>
      <c r="E13" s="59" t="s">
        <v>66</v>
      </c>
    </row>
    <row r="14">
      <c r="A14" s="28">
        <v>1.0</v>
      </c>
      <c r="B14" s="28" t="s">
        <v>50</v>
      </c>
      <c r="C14" s="28" t="s">
        <v>23</v>
      </c>
      <c r="D14" s="28" t="s">
        <v>24</v>
      </c>
      <c r="E14" s="59" t="s">
        <v>67</v>
      </c>
    </row>
    <row r="15">
      <c r="A15" s="28">
        <v>1.0</v>
      </c>
      <c r="B15" s="28" t="s">
        <v>50</v>
      </c>
      <c r="C15" s="28" t="s">
        <v>44</v>
      </c>
      <c r="D15" s="15" t="s">
        <v>14</v>
      </c>
      <c r="E15" s="59" t="s">
        <v>68</v>
      </c>
    </row>
    <row r="16">
      <c r="A16" s="28">
        <v>8.0</v>
      </c>
      <c r="B16" s="28" t="s">
        <v>50</v>
      </c>
      <c r="C16" s="28" t="s">
        <v>6</v>
      </c>
      <c r="D16" s="15" t="s">
        <v>69</v>
      </c>
      <c r="E16" s="59" t="s">
        <v>70</v>
      </c>
    </row>
    <row r="17">
      <c r="A17" s="28">
        <v>2.0</v>
      </c>
      <c r="B17" s="28" t="s">
        <v>50</v>
      </c>
      <c r="C17" s="28" t="s">
        <v>23</v>
      </c>
      <c r="D17" s="28" t="s">
        <v>24</v>
      </c>
      <c r="E17" s="59" t="s">
        <v>71</v>
      </c>
    </row>
    <row r="18">
      <c r="A18" s="28">
        <v>9.0</v>
      </c>
      <c r="B18" s="28" t="s">
        <v>50</v>
      </c>
      <c r="C18" s="28" t="s">
        <v>6</v>
      </c>
      <c r="D18" s="4" t="s">
        <v>72</v>
      </c>
      <c r="E18" s="59" t="s">
        <v>73</v>
      </c>
    </row>
    <row r="19">
      <c r="A19" s="28">
        <v>10.0</v>
      </c>
      <c r="B19" s="28" t="s">
        <v>50</v>
      </c>
      <c r="C19" s="28" t="s">
        <v>6</v>
      </c>
      <c r="D19" s="62" t="s">
        <v>18</v>
      </c>
      <c r="E19" s="59" t="s">
        <v>74</v>
      </c>
    </row>
    <row r="20">
      <c r="A20" s="28">
        <v>3.0</v>
      </c>
      <c r="B20" s="28" t="s">
        <v>50</v>
      </c>
      <c r="C20" s="28" t="s">
        <v>23</v>
      </c>
      <c r="D20" s="28" t="s">
        <v>24</v>
      </c>
      <c r="E20" s="59" t="s">
        <v>75</v>
      </c>
    </row>
    <row r="21">
      <c r="A21" s="28">
        <v>6.0</v>
      </c>
      <c r="B21" s="28" t="s">
        <v>50</v>
      </c>
      <c r="C21" s="28" t="s">
        <v>33</v>
      </c>
      <c r="D21" s="62" t="s">
        <v>33</v>
      </c>
      <c r="E21" s="59" t="s">
        <v>76</v>
      </c>
    </row>
    <row r="22">
      <c r="A22" s="28">
        <v>2.0</v>
      </c>
      <c r="B22" s="28" t="s">
        <v>50</v>
      </c>
      <c r="C22" s="28" t="s">
        <v>44</v>
      </c>
      <c r="D22" s="55" t="s">
        <v>77</v>
      </c>
      <c r="E22" s="59" t="s">
        <v>78</v>
      </c>
    </row>
    <row r="23">
      <c r="A23" s="28">
        <v>11.0</v>
      </c>
      <c r="B23" s="28" t="s">
        <v>50</v>
      </c>
      <c r="C23" s="28" t="s">
        <v>6</v>
      </c>
      <c r="D23" s="28" t="s">
        <v>12</v>
      </c>
      <c r="E23" s="59" t="s">
        <v>79</v>
      </c>
    </row>
    <row r="24">
      <c r="A24" s="28">
        <v>12.0</v>
      </c>
      <c r="B24" s="28" t="s">
        <v>50</v>
      </c>
      <c r="C24" s="28" t="s">
        <v>6</v>
      </c>
      <c r="D24" s="62" t="s">
        <v>10</v>
      </c>
      <c r="E24" s="59" t="s">
        <v>80</v>
      </c>
    </row>
    <row r="25">
      <c r="A25" s="28">
        <v>3.0</v>
      </c>
      <c r="B25" s="28" t="s">
        <v>50</v>
      </c>
      <c r="C25" s="28" t="s">
        <v>44</v>
      </c>
      <c r="D25" s="15" t="s">
        <v>14</v>
      </c>
      <c r="E25" s="59" t="s">
        <v>81</v>
      </c>
    </row>
    <row r="26">
      <c r="A26" s="28">
        <v>4.0</v>
      </c>
      <c r="B26" s="28" t="s">
        <v>50</v>
      </c>
      <c r="C26" s="28" t="s">
        <v>23</v>
      </c>
      <c r="D26" s="55" t="s">
        <v>82</v>
      </c>
      <c r="E26" s="59" t="s">
        <v>83</v>
      </c>
    </row>
    <row r="27">
      <c r="A27" s="28">
        <v>1.0</v>
      </c>
      <c r="B27" s="28" t="s">
        <v>50</v>
      </c>
      <c r="C27" s="28" t="s">
        <v>84</v>
      </c>
      <c r="D27" s="28" t="s">
        <v>84</v>
      </c>
      <c r="E27" s="59" t="s">
        <v>85</v>
      </c>
    </row>
    <row r="28">
      <c r="A28" s="28">
        <v>7.0</v>
      </c>
      <c r="B28" s="28" t="s">
        <v>50</v>
      </c>
      <c r="C28" s="28" t="s">
        <v>33</v>
      </c>
      <c r="D28" s="28" t="s">
        <v>33</v>
      </c>
      <c r="E28" s="59" t="s">
        <v>86</v>
      </c>
    </row>
    <row r="29">
      <c r="A29" s="28">
        <v>4.0</v>
      </c>
      <c r="B29" s="28" t="s">
        <v>50</v>
      </c>
      <c r="C29" s="28" t="s">
        <v>44</v>
      </c>
      <c r="D29" s="62" t="s">
        <v>10</v>
      </c>
      <c r="E29" s="59" t="s">
        <v>87</v>
      </c>
    </row>
    <row r="30">
      <c r="A30" s="28">
        <v>5.0</v>
      </c>
      <c r="B30" s="28" t="s">
        <v>50</v>
      </c>
      <c r="C30" s="28" t="s">
        <v>44</v>
      </c>
      <c r="D30" s="62" t="s">
        <v>10</v>
      </c>
      <c r="E30" s="59" t="s">
        <v>88</v>
      </c>
    </row>
    <row r="31">
      <c r="A31" s="28">
        <v>2.0</v>
      </c>
      <c r="B31" s="28" t="s">
        <v>50</v>
      </c>
      <c r="C31" s="28" t="s">
        <v>84</v>
      </c>
      <c r="D31" s="63" t="s">
        <v>89</v>
      </c>
      <c r="E31" s="59" t="s">
        <v>90</v>
      </c>
    </row>
    <row r="32">
      <c r="A32" s="28">
        <v>8.0</v>
      </c>
      <c r="B32" s="28" t="s">
        <v>50</v>
      </c>
      <c r="C32" s="28" t="s">
        <v>33</v>
      </c>
      <c r="D32" s="62" t="s">
        <v>33</v>
      </c>
      <c r="E32" s="59" t="s">
        <v>91</v>
      </c>
    </row>
    <row r="33">
      <c r="A33" s="28">
        <v>3.0</v>
      </c>
      <c r="B33" s="28" t="s">
        <v>50</v>
      </c>
      <c r="C33" s="28" t="s">
        <v>84</v>
      </c>
      <c r="D33" s="63" t="s">
        <v>89</v>
      </c>
      <c r="E33" s="59" t="s">
        <v>92</v>
      </c>
    </row>
    <row r="34">
      <c r="A34" s="28">
        <v>13.0</v>
      </c>
      <c r="B34" s="28" t="s">
        <v>50</v>
      </c>
      <c r="C34" s="28" t="s">
        <v>6</v>
      </c>
      <c r="D34" s="55" t="s">
        <v>19</v>
      </c>
      <c r="E34" s="59" t="s">
        <v>93</v>
      </c>
    </row>
    <row r="35">
      <c r="A35" s="28">
        <v>4.0</v>
      </c>
      <c r="B35" s="28" t="s">
        <v>50</v>
      </c>
      <c r="C35" s="28" t="s">
        <v>84</v>
      </c>
      <c r="D35" s="55" t="s">
        <v>84</v>
      </c>
      <c r="E35" s="59" t="s">
        <v>94</v>
      </c>
    </row>
    <row r="36">
      <c r="A36" s="28">
        <v>9.0</v>
      </c>
      <c r="B36" s="28" t="s">
        <v>50</v>
      </c>
      <c r="C36" s="55" t="s">
        <v>33</v>
      </c>
      <c r="D36" s="55" t="s">
        <v>15</v>
      </c>
      <c r="E36" s="59" t="s">
        <v>95</v>
      </c>
    </row>
    <row r="37">
      <c r="A37" s="28">
        <v>10.0</v>
      </c>
      <c r="B37" s="28" t="s">
        <v>50</v>
      </c>
      <c r="C37" s="28" t="s">
        <v>33</v>
      </c>
      <c r="D37" s="60" t="s">
        <v>52</v>
      </c>
      <c r="E37" s="59" t="s">
        <v>96</v>
      </c>
    </row>
    <row r="38">
      <c r="A38" s="28">
        <v>14.0</v>
      </c>
      <c r="B38" s="28" t="s">
        <v>50</v>
      </c>
      <c r="C38" s="28" t="s">
        <v>6</v>
      </c>
      <c r="D38" s="55" t="s">
        <v>27</v>
      </c>
      <c r="E38" s="59" t="s">
        <v>97</v>
      </c>
    </row>
    <row r="39">
      <c r="A39" s="28">
        <v>15.0</v>
      </c>
      <c r="B39" s="28" t="s">
        <v>50</v>
      </c>
      <c r="C39" s="28" t="s">
        <v>6</v>
      </c>
      <c r="D39" s="62" t="s">
        <v>8</v>
      </c>
      <c r="E39" s="59" t="s">
        <v>98</v>
      </c>
    </row>
    <row r="40">
      <c r="A40" s="28">
        <v>5.0</v>
      </c>
      <c r="B40" s="28" t="s">
        <v>50</v>
      </c>
      <c r="C40" s="28" t="s">
        <v>84</v>
      </c>
      <c r="D40" s="28" t="s">
        <v>84</v>
      </c>
      <c r="E40" s="59" t="s">
        <v>99</v>
      </c>
    </row>
    <row r="41">
      <c r="A41" s="28">
        <v>16.0</v>
      </c>
      <c r="B41" s="28" t="s">
        <v>50</v>
      </c>
      <c r="C41" s="28" t="s">
        <v>6</v>
      </c>
      <c r="D41" s="62" t="s">
        <v>8</v>
      </c>
      <c r="E41" s="59" t="s">
        <v>100</v>
      </c>
    </row>
    <row r="42">
      <c r="A42" s="28">
        <v>17.0</v>
      </c>
      <c r="B42" s="28" t="s">
        <v>50</v>
      </c>
      <c r="C42" s="28" t="s">
        <v>6</v>
      </c>
      <c r="D42" s="28" t="s">
        <v>12</v>
      </c>
      <c r="E42" s="59" t="s">
        <v>101</v>
      </c>
    </row>
    <row r="43">
      <c r="A43" s="28">
        <v>1.0</v>
      </c>
      <c r="B43" s="28" t="s">
        <v>50</v>
      </c>
      <c r="C43" s="28" t="s">
        <v>102</v>
      </c>
      <c r="D43" s="31" t="s">
        <v>38</v>
      </c>
      <c r="E43" s="59" t="s">
        <v>103</v>
      </c>
    </row>
    <row r="44">
      <c r="A44" s="28">
        <v>18.0</v>
      </c>
      <c r="B44" s="28" t="s">
        <v>50</v>
      </c>
      <c r="C44" s="28" t="s">
        <v>6</v>
      </c>
      <c r="D44" s="62" t="s">
        <v>58</v>
      </c>
      <c r="E44" s="59" t="s">
        <v>104</v>
      </c>
    </row>
    <row r="45">
      <c r="A45" s="28">
        <v>19.0</v>
      </c>
      <c r="B45" s="28" t="s">
        <v>50</v>
      </c>
      <c r="C45" s="28" t="s">
        <v>6</v>
      </c>
      <c r="D45" s="28" t="s">
        <v>12</v>
      </c>
      <c r="E45" s="59" t="s">
        <v>105</v>
      </c>
    </row>
    <row r="46">
      <c r="A46" s="28">
        <v>20.0</v>
      </c>
      <c r="B46" s="28" t="s">
        <v>50</v>
      </c>
      <c r="C46" s="28" t="s">
        <v>6</v>
      </c>
      <c r="D46" s="62" t="s">
        <v>8</v>
      </c>
      <c r="E46" s="59" t="s">
        <v>106</v>
      </c>
    </row>
    <row r="47">
      <c r="A47" s="28">
        <v>21.0</v>
      </c>
      <c r="B47" s="28" t="s">
        <v>50</v>
      </c>
      <c r="C47" s="28" t="s">
        <v>6</v>
      </c>
      <c r="D47" s="62" t="s">
        <v>58</v>
      </c>
      <c r="E47" s="59" t="s">
        <v>107</v>
      </c>
    </row>
    <row r="48">
      <c r="A48" s="28">
        <v>11.0</v>
      </c>
      <c r="B48" s="28" t="s">
        <v>50</v>
      </c>
      <c r="C48" s="55" t="s">
        <v>33</v>
      </c>
      <c r="D48" s="55" t="s">
        <v>15</v>
      </c>
      <c r="E48" s="59" t="s">
        <v>108</v>
      </c>
    </row>
    <row r="49">
      <c r="A49" s="28">
        <v>22.0</v>
      </c>
      <c r="B49" s="28" t="s">
        <v>50</v>
      </c>
      <c r="C49" s="28" t="s">
        <v>6</v>
      </c>
      <c r="D49" s="62" t="s">
        <v>8</v>
      </c>
      <c r="E49" s="59" t="s">
        <v>109</v>
      </c>
    </row>
    <row r="50">
      <c r="A50" s="28">
        <v>6.0</v>
      </c>
      <c r="B50" s="28" t="s">
        <v>50</v>
      </c>
      <c r="C50" s="28" t="s">
        <v>84</v>
      </c>
      <c r="D50" s="63" t="s">
        <v>89</v>
      </c>
      <c r="E50" s="59" t="s">
        <v>110</v>
      </c>
    </row>
    <row r="51">
      <c r="A51" s="28">
        <v>6.0</v>
      </c>
      <c r="B51" s="28" t="s">
        <v>50</v>
      </c>
      <c r="C51" s="28" t="s">
        <v>44</v>
      </c>
      <c r="D51" s="62" t="s">
        <v>10</v>
      </c>
      <c r="E51" s="59" t="s">
        <v>111</v>
      </c>
    </row>
    <row r="52">
      <c r="A52" s="28">
        <v>23.0</v>
      </c>
      <c r="B52" s="28" t="s">
        <v>50</v>
      </c>
      <c r="C52" s="28" t="s">
        <v>6</v>
      </c>
      <c r="D52" s="62" t="s">
        <v>11</v>
      </c>
      <c r="E52" s="59" t="s">
        <v>112</v>
      </c>
    </row>
    <row r="53">
      <c r="A53" s="28">
        <v>7.0</v>
      </c>
      <c r="B53" s="28" t="s">
        <v>50</v>
      </c>
      <c r="C53" s="28" t="s">
        <v>44</v>
      </c>
      <c r="D53" s="31" t="s">
        <v>77</v>
      </c>
      <c r="E53" s="59" t="s">
        <v>113</v>
      </c>
    </row>
    <row r="54">
      <c r="A54" s="28">
        <v>8.0</v>
      </c>
      <c r="B54" s="28" t="s">
        <v>50</v>
      </c>
      <c r="C54" s="28" t="s">
        <v>44</v>
      </c>
      <c r="D54" s="4" t="s">
        <v>114</v>
      </c>
      <c r="E54" s="59" t="s">
        <v>115</v>
      </c>
    </row>
    <row r="55">
      <c r="A55" s="28">
        <v>12.0</v>
      </c>
      <c r="B55" s="28" t="s">
        <v>50</v>
      </c>
      <c r="C55" s="28" t="s">
        <v>33</v>
      </c>
      <c r="D55" s="60" t="s">
        <v>52</v>
      </c>
      <c r="E55" s="59" t="s">
        <v>116</v>
      </c>
    </row>
    <row r="56">
      <c r="A56" s="28">
        <v>13.0</v>
      </c>
      <c r="B56" s="28" t="s">
        <v>50</v>
      </c>
      <c r="C56" s="28" t="s">
        <v>33</v>
      </c>
      <c r="D56" s="55" t="s">
        <v>117</v>
      </c>
      <c r="E56" s="59" t="s">
        <v>118</v>
      </c>
    </row>
    <row r="57">
      <c r="A57" s="28">
        <v>14.0</v>
      </c>
      <c r="B57" s="28" t="s">
        <v>50</v>
      </c>
      <c r="C57" s="28" t="s">
        <v>33</v>
      </c>
      <c r="D57" s="55" t="s">
        <v>117</v>
      </c>
      <c r="E57" s="59" t="s">
        <v>119</v>
      </c>
    </row>
    <row r="58">
      <c r="A58" s="28">
        <v>24.0</v>
      </c>
      <c r="B58" s="28" t="s">
        <v>50</v>
      </c>
      <c r="C58" s="28" t="s">
        <v>6</v>
      </c>
      <c r="D58" s="4" t="s">
        <v>120</v>
      </c>
      <c r="E58" s="59" t="s">
        <v>115</v>
      </c>
    </row>
    <row r="59">
      <c r="A59" s="28">
        <v>15.0</v>
      </c>
      <c r="B59" s="28" t="s">
        <v>50</v>
      </c>
      <c r="C59" s="28" t="s">
        <v>33</v>
      </c>
      <c r="D59" s="60" t="s">
        <v>52</v>
      </c>
      <c r="E59" s="59" t="s">
        <v>116</v>
      </c>
    </row>
    <row r="60">
      <c r="A60" s="28">
        <v>2.0</v>
      </c>
      <c r="B60" s="28" t="s">
        <v>50</v>
      </c>
      <c r="C60" s="28" t="s">
        <v>102</v>
      </c>
      <c r="D60" s="55" t="s">
        <v>38</v>
      </c>
      <c r="E60" s="59" t="s">
        <v>121</v>
      </c>
    </row>
    <row r="61">
      <c r="A61" s="28">
        <v>3.0</v>
      </c>
      <c r="B61" s="28" t="s">
        <v>50</v>
      </c>
      <c r="C61" s="28" t="s">
        <v>102</v>
      </c>
      <c r="D61" s="55" t="s">
        <v>33</v>
      </c>
      <c r="E61" s="59" t="s">
        <v>122</v>
      </c>
    </row>
    <row r="62">
      <c r="A62" s="28">
        <v>9.0</v>
      </c>
      <c r="B62" s="28" t="s">
        <v>50</v>
      </c>
      <c r="C62" s="28" t="s">
        <v>44</v>
      </c>
      <c r="D62" s="62" t="s">
        <v>10</v>
      </c>
      <c r="E62" s="59" t="s">
        <v>123</v>
      </c>
    </row>
    <row r="63">
      <c r="A63" s="28">
        <v>16.0</v>
      </c>
      <c r="B63" s="55" t="s">
        <v>124</v>
      </c>
      <c r="C63" s="55" t="s">
        <v>33</v>
      </c>
      <c r="D63" s="55" t="s">
        <v>33</v>
      </c>
      <c r="E63" s="59" t="s">
        <v>125</v>
      </c>
    </row>
    <row r="64">
      <c r="A64" s="28">
        <v>25.0</v>
      </c>
      <c r="B64" s="55" t="s">
        <v>126</v>
      </c>
      <c r="C64" s="55" t="s">
        <v>6</v>
      </c>
      <c r="D64" s="62" t="s">
        <v>8</v>
      </c>
      <c r="E64" s="59" t="s">
        <v>127</v>
      </c>
    </row>
    <row r="65">
      <c r="A65" s="28">
        <v>10.0</v>
      </c>
      <c r="B65" s="55" t="s">
        <v>126</v>
      </c>
      <c r="C65" s="55" t="s">
        <v>44</v>
      </c>
      <c r="D65" s="62" t="s">
        <v>10</v>
      </c>
      <c r="E65" s="59" t="s">
        <v>128</v>
      </c>
    </row>
    <row r="66">
      <c r="A66" s="28">
        <v>26.0</v>
      </c>
      <c r="B66" s="55" t="s">
        <v>126</v>
      </c>
      <c r="C66" s="55" t="s">
        <v>6</v>
      </c>
      <c r="D66" s="62" t="s">
        <v>11</v>
      </c>
      <c r="E66" s="59" t="s">
        <v>129</v>
      </c>
    </row>
    <row r="67">
      <c r="A67" s="28">
        <v>11.0</v>
      </c>
      <c r="B67" s="55" t="s">
        <v>126</v>
      </c>
      <c r="C67" s="55" t="s">
        <v>44</v>
      </c>
      <c r="D67" s="62" t="s">
        <v>10</v>
      </c>
      <c r="E67" s="59" t="s">
        <v>130</v>
      </c>
    </row>
    <row r="68">
      <c r="A68" s="28">
        <v>7.0</v>
      </c>
      <c r="B68" s="55" t="s">
        <v>126</v>
      </c>
      <c r="C68" s="55" t="s">
        <v>84</v>
      </c>
      <c r="D68" s="55" t="s">
        <v>37</v>
      </c>
      <c r="E68" s="59" t="s">
        <v>131</v>
      </c>
    </row>
    <row r="69">
      <c r="A69" s="28">
        <v>12.0</v>
      </c>
      <c r="B69" s="55" t="s">
        <v>126</v>
      </c>
      <c r="C69" s="55" t="s">
        <v>44</v>
      </c>
      <c r="D69" s="31" t="s">
        <v>77</v>
      </c>
      <c r="E69" s="59" t="s">
        <v>132</v>
      </c>
    </row>
    <row r="70">
      <c r="A70" s="28">
        <v>5.0</v>
      </c>
      <c r="B70" s="55" t="s">
        <v>126</v>
      </c>
      <c r="C70" s="55" t="s">
        <v>23</v>
      </c>
      <c r="D70" s="7" t="s">
        <v>133</v>
      </c>
      <c r="E70" s="59" t="s">
        <v>134</v>
      </c>
    </row>
    <row r="71">
      <c r="A71" s="28">
        <v>27.0</v>
      </c>
      <c r="B71" s="55" t="s">
        <v>126</v>
      </c>
      <c r="C71" s="55" t="s">
        <v>6</v>
      </c>
      <c r="D71" s="14" t="s">
        <v>8</v>
      </c>
      <c r="E71" s="59" t="s">
        <v>135</v>
      </c>
    </row>
    <row r="72">
      <c r="A72" s="28">
        <v>28.0</v>
      </c>
      <c r="B72" s="55" t="s">
        <v>126</v>
      </c>
      <c r="C72" s="55" t="s">
        <v>6</v>
      </c>
      <c r="D72" s="14" t="s">
        <v>8</v>
      </c>
      <c r="E72" s="59" t="s">
        <v>136</v>
      </c>
    </row>
    <row r="73">
      <c r="A73" s="28">
        <v>17.0</v>
      </c>
      <c r="B73" s="55" t="s">
        <v>126</v>
      </c>
      <c r="C73" s="28" t="s">
        <v>33</v>
      </c>
      <c r="D73" s="60" t="s">
        <v>52</v>
      </c>
      <c r="E73" s="59" t="s">
        <v>137</v>
      </c>
    </row>
    <row r="74">
      <c r="A74" s="28">
        <v>29.0</v>
      </c>
      <c r="B74" s="55" t="s">
        <v>126</v>
      </c>
      <c r="C74" s="55" t="s">
        <v>6</v>
      </c>
      <c r="D74" s="14" t="s">
        <v>58</v>
      </c>
      <c r="E74" s="59" t="s">
        <v>138</v>
      </c>
    </row>
    <row r="75">
      <c r="A75" s="28">
        <v>30.0</v>
      </c>
      <c r="B75" s="55" t="s">
        <v>126</v>
      </c>
      <c r="C75" s="55" t="s">
        <v>6</v>
      </c>
      <c r="D75" s="14" t="s">
        <v>58</v>
      </c>
      <c r="E75" s="59" t="s">
        <v>139</v>
      </c>
    </row>
    <row r="76">
      <c r="A76" s="28">
        <v>31.0</v>
      </c>
      <c r="B76" s="55" t="s">
        <v>126</v>
      </c>
      <c r="C76" s="55" t="s">
        <v>6</v>
      </c>
      <c r="D76" s="14" t="s">
        <v>8</v>
      </c>
      <c r="E76" s="59" t="s">
        <v>140</v>
      </c>
    </row>
    <row r="77">
      <c r="A77" s="28">
        <v>32.0</v>
      </c>
      <c r="B77" s="55" t="s">
        <v>126</v>
      </c>
      <c r="C77" s="55" t="s">
        <v>6</v>
      </c>
      <c r="D77" s="14" t="s">
        <v>8</v>
      </c>
      <c r="E77" s="59" t="s">
        <v>141</v>
      </c>
    </row>
    <row r="78">
      <c r="A78" s="28">
        <v>33.0</v>
      </c>
      <c r="B78" s="55" t="s">
        <v>126</v>
      </c>
      <c r="C78" s="55" t="s">
        <v>6</v>
      </c>
      <c r="D78" s="14" t="s">
        <v>18</v>
      </c>
      <c r="E78" s="59" t="s">
        <v>142</v>
      </c>
    </row>
    <row r="79">
      <c r="A79" s="28">
        <v>34.0</v>
      </c>
      <c r="B79" s="55" t="s">
        <v>126</v>
      </c>
      <c r="C79" s="55" t="s">
        <v>6</v>
      </c>
      <c r="D79" s="14" t="s">
        <v>8</v>
      </c>
      <c r="E79" s="59" t="s">
        <v>143</v>
      </c>
    </row>
    <row r="80">
      <c r="A80" s="28">
        <v>18.0</v>
      </c>
      <c r="B80" s="55" t="s">
        <v>126</v>
      </c>
      <c r="C80" s="55" t="s">
        <v>33</v>
      </c>
      <c r="D80" s="60" t="s">
        <v>52</v>
      </c>
      <c r="E80" s="59" t="s">
        <v>144</v>
      </c>
    </row>
    <row r="81">
      <c r="A81" s="28">
        <v>35.0</v>
      </c>
      <c r="B81" s="55" t="s">
        <v>126</v>
      </c>
      <c r="C81" s="55" t="s">
        <v>6</v>
      </c>
      <c r="D81" s="4" t="s">
        <v>145</v>
      </c>
      <c r="E81" s="59" t="s">
        <v>146</v>
      </c>
    </row>
    <row r="82">
      <c r="A82" s="28">
        <v>19.0</v>
      </c>
      <c r="B82" s="55" t="s">
        <v>126</v>
      </c>
      <c r="C82" s="55" t="s">
        <v>33</v>
      </c>
      <c r="D82" s="60" t="s">
        <v>52</v>
      </c>
      <c r="E82" s="59" t="s">
        <v>147</v>
      </c>
    </row>
    <row r="83">
      <c r="A83" s="28">
        <v>36.0</v>
      </c>
      <c r="B83" s="55" t="s">
        <v>126</v>
      </c>
      <c r="C83" s="55" t="s">
        <v>6</v>
      </c>
      <c r="D83" s="14" t="s">
        <v>58</v>
      </c>
      <c r="E83" s="59" t="s">
        <v>148</v>
      </c>
    </row>
    <row r="84">
      <c r="A84" s="55"/>
      <c r="B84" s="55" t="s">
        <v>126</v>
      </c>
      <c r="C84" s="55" t="s">
        <v>45</v>
      </c>
      <c r="D84" s="7" t="s">
        <v>149</v>
      </c>
      <c r="E84" s="59" t="s">
        <v>150</v>
      </c>
    </row>
    <row r="85">
      <c r="A85" s="28">
        <v>4.0</v>
      </c>
      <c r="B85" s="55" t="s">
        <v>126</v>
      </c>
      <c r="C85" s="55" t="s">
        <v>102</v>
      </c>
      <c r="D85" s="7" t="s">
        <v>38</v>
      </c>
      <c r="E85" s="59" t="s">
        <v>151</v>
      </c>
    </row>
    <row r="86">
      <c r="A86" s="55"/>
      <c r="B86" s="55" t="s">
        <v>126</v>
      </c>
      <c r="C86" s="55" t="s">
        <v>45</v>
      </c>
      <c r="D86" s="7" t="s">
        <v>149</v>
      </c>
      <c r="E86" s="59" t="s">
        <v>152</v>
      </c>
    </row>
    <row r="87">
      <c r="A87" s="28">
        <v>37.0</v>
      </c>
      <c r="B87" s="55" t="s">
        <v>126</v>
      </c>
      <c r="C87" s="55" t="s">
        <v>6</v>
      </c>
      <c r="D87" s="14" t="s">
        <v>58</v>
      </c>
      <c r="E87" s="59" t="s">
        <v>153</v>
      </c>
    </row>
    <row r="88">
      <c r="A88" s="28">
        <v>20.0</v>
      </c>
      <c r="B88" s="55" t="s">
        <v>126</v>
      </c>
      <c r="C88" s="14" t="s">
        <v>33</v>
      </c>
      <c r="D88" s="14" t="s">
        <v>33</v>
      </c>
      <c r="E88" s="59" t="s">
        <v>154</v>
      </c>
    </row>
    <row r="89">
      <c r="A89" s="28">
        <v>21.0</v>
      </c>
      <c r="B89" s="55" t="s">
        <v>126</v>
      </c>
      <c r="C89" s="55" t="s">
        <v>33</v>
      </c>
      <c r="D89" s="60" t="s">
        <v>52</v>
      </c>
      <c r="E89" s="59" t="s">
        <v>155</v>
      </c>
    </row>
    <row r="90">
      <c r="A90" s="28">
        <v>22.0</v>
      </c>
      <c r="B90" s="55" t="s">
        <v>126</v>
      </c>
      <c r="C90" s="55" t="s">
        <v>33</v>
      </c>
      <c r="D90" s="60" t="s">
        <v>52</v>
      </c>
      <c r="E90" s="59" t="s">
        <v>156</v>
      </c>
    </row>
    <row r="91">
      <c r="A91" s="28">
        <v>23.0</v>
      </c>
      <c r="B91" s="55" t="s">
        <v>126</v>
      </c>
      <c r="C91" s="55" t="s">
        <v>33</v>
      </c>
      <c r="D91" s="60" t="s">
        <v>52</v>
      </c>
      <c r="E91" s="59" t="s">
        <v>157</v>
      </c>
    </row>
    <row r="92">
      <c r="A92" s="28">
        <v>38.0</v>
      </c>
      <c r="B92" s="55" t="s">
        <v>126</v>
      </c>
      <c r="C92" s="55" t="s">
        <v>6</v>
      </c>
      <c r="D92" s="7" t="s">
        <v>30</v>
      </c>
      <c r="E92" s="59" t="s">
        <v>158</v>
      </c>
    </row>
    <row r="93">
      <c r="A93" s="28">
        <v>39.0</v>
      </c>
      <c r="B93" s="55" t="s">
        <v>126</v>
      </c>
      <c r="C93" s="55" t="s">
        <v>6</v>
      </c>
      <c r="D93" s="7" t="s">
        <v>19</v>
      </c>
      <c r="E93" s="59" t="s">
        <v>159</v>
      </c>
    </row>
    <row r="94">
      <c r="A94" s="28">
        <v>24.0</v>
      </c>
      <c r="B94" s="55" t="s">
        <v>126</v>
      </c>
      <c r="C94" s="55" t="s">
        <v>33</v>
      </c>
      <c r="D94" s="60" t="s">
        <v>52</v>
      </c>
      <c r="E94" s="59" t="s">
        <v>160</v>
      </c>
    </row>
    <row r="95">
      <c r="A95" s="28">
        <v>25.0</v>
      </c>
      <c r="B95" s="55" t="s">
        <v>126</v>
      </c>
      <c r="C95" s="55" t="s">
        <v>33</v>
      </c>
      <c r="D95" s="14" t="s">
        <v>33</v>
      </c>
      <c r="E95" s="59" t="s">
        <v>161</v>
      </c>
    </row>
    <row r="96">
      <c r="A96" s="28">
        <v>40.0</v>
      </c>
      <c r="B96" s="55" t="s">
        <v>126</v>
      </c>
      <c r="C96" s="55" t="s">
        <v>6</v>
      </c>
      <c r="D96" s="7" t="s">
        <v>19</v>
      </c>
      <c r="E96" s="59" t="s">
        <v>162</v>
      </c>
    </row>
    <row r="97">
      <c r="A97" s="28">
        <v>41.0</v>
      </c>
      <c r="B97" s="55" t="s">
        <v>126</v>
      </c>
      <c r="C97" s="55" t="s">
        <v>6</v>
      </c>
      <c r="D97" s="4" t="s">
        <v>26</v>
      </c>
      <c r="E97" s="59" t="s">
        <v>163</v>
      </c>
    </row>
    <row r="98">
      <c r="A98" s="55"/>
      <c r="B98" s="55" t="s">
        <v>126</v>
      </c>
      <c r="C98" s="55" t="s">
        <v>164</v>
      </c>
      <c r="D98" s="60" t="s">
        <v>24</v>
      </c>
      <c r="E98" s="59" t="s">
        <v>71</v>
      </c>
    </row>
    <row r="99">
      <c r="A99" s="28">
        <v>42.0</v>
      </c>
      <c r="B99" s="55" t="s">
        <v>126</v>
      </c>
      <c r="C99" s="55" t="s">
        <v>6</v>
      </c>
      <c r="D99" s="28" t="s">
        <v>12</v>
      </c>
      <c r="E99" s="59" t="s">
        <v>165</v>
      </c>
    </row>
    <row r="100">
      <c r="A100" s="28">
        <v>6.0</v>
      </c>
      <c r="B100" s="55" t="s">
        <v>126</v>
      </c>
      <c r="C100" s="55" t="s">
        <v>23</v>
      </c>
      <c r="D100" s="4" t="s">
        <v>166</v>
      </c>
      <c r="E100" s="59" t="s">
        <v>167</v>
      </c>
    </row>
    <row r="101">
      <c r="A101" s="28">
        <v>43.0</v>
      </c>
      <c r="B101" s="55" t="s">
        <v>126</v>
      </c>
      <c r="C101" s="55" t="s">
        <v>6</v>
      </c>
      <c r="D101" s="14" t="s">
        <v>8</v>
      </c>
      <c r="E101" s="59" t="s">
        <v>168</v>
      </c>
    </row>
    <row r="102">
      <c r="A102" s="28">
        <v>26.0</v>
      </c>
      <c r="B102" s="55" t="s">
        <v>126</v>
      </c>
      <c r="C102" s="55" t="s">
        <v>33</v>
      </c>
      <c r="D102" s="7" t="s">
        <v>15</v>
      </c>
      <c r="E102" s="59" t="s">
        <v>169</v>
      </c>
    </row>
    <row r="103">
      <c r="A103" s="28">
        <v>44.0</v>
      </c>
      <c r="B103" s="55" t="s">
        <v>126</v>
      </c>
      <c r="C103" s="55" t="s">
        <v>6</v>
      </c>
      <c r="D103" s="14" t="s">
        <v>29</v>
      </c>
      <c r="E103" s="59" t="s">
        <v>170</v>
      </c>
    </row>
    <row r="104">
      <c r="A104" s="28">
        <v>45.0</v>
      </c>
      <c r="B104" s="55" t="s">
        <v>126</v>
      </c>
      <c r="C104" s="55" t="s">
        <v>6</v>
      </c>
      <c r="D104" s="7" t="s">
        <v>20</v>
      </c>
      <c r="E104" s="59" t="s">
        <v>171</v>
      </c>
    </row>
    <row r="105">
      <c r="A105" s="28">
        <v>46.0</v>
      </c>
      <c r="B105" s="55" t="s">
        <v>126</v>
      </c>
      <c r="C105" s="55" t="s">
        <v>6</v>
      </c>
      <c r="D105" s="7" t="s">
        <v>30</v>
      </c>
      <c r="E105" s="59" t="s">
        <v>172</v>
      </c>
    </row>
    <row r="106">
      <c r="A106" s="28">
        <v>47.0</v>
      </c>
      <c r="B106" s="55" t="s">
        <v>126</v>
      </c>
      <c r="C106" s="55" t="s">
        <v>6</v>
      </c>
      <c r="D106" s="4" t="s">
        <v>12</v>
      </c>
      <c r="E106" s="59" t="s">
        <v>173</v>
      </c>
    </row>
    <row r="107">
      <c r="A107" s="55"/>
      <c r="B107" s="55" t="s">
        <v>126</v>
      </c>
      <c r="C107" s="55" t="s">
        <v>16</v>
      </c>
      <c r="D107" s="14" t="s">
        <v>174</v>
      </c>
      <c r="E107" s="59" t="s">
        <v>175</v>
      </c>
    </row>
    <row r="108">
      <c r="A108" s="28">
        <v>13.0</v>
      </c>
      <c r="B108" s="55" t="s">
        <v>126</v>
      </c>
      <c r="C108" s="55" t="s">
        <v>44</v>
      </c>
      <c r="D108" s="14" t="s">
        <v>10</v>
      </c>
      <c r="E108" s="59" t="s">
        <v>176</v>
      </c>
    </row>
    <row r="109">
      <c r="A109" s="28">
        <v>27.0</v>
      </c>
      <c r="B109" s="55" t="s">
        <v>126</v>
      </c>
      <c r="C109" s="55" t="s">
        <v>33</v>
      </c>
      <c r="D109" s="60" t="s">
        <v>52</v>
      </c>
      <c r="E109" s="59" t="s">
        <v>177</v>
      </c>
    </row>
    <row r="110">
      <c r="A110" s="28">
        <v>48.0</v>
      </c>
      <c r="B110" s="55" t="s">
        <v>126</v>
      </c>
      <c r="C110" s="55" t="s">
        <v>6</v>
      </c>
      <c r="D110" s="7" t="s">
        <v>30</v>
      </c>
      <c r="E110" s="59" t="s">
        <v>178</v>
      </c>
    </row>
    <row r="111">
      <c r="A111" s="28">
        <v>49.0</v>
      </c>
      <c r="B111" s="55" t="s">
        <v>126</v>
      </c>
      <c r="C111" s="55" t="s">
        <v>6</v>
      </c>
      <c r="D111" s="4" t="s">
        <v>179</v>
      </c>
      <c r="E111" s="59" t="s">
        <v>180</v>
      </c>
    </row>
    <row r="112">
      <c r="A112" s="28">
        <v>28.0</v>
      </c>
      <c r="B112" s="55" t="s">
        <v>126</v>
      </c>
      <c r="C112" s="55" t="s">
        <v>33</v>
      </c>
      <c r="D112" s="60" t="s">
        <v>52</v>
      </c>
      <c r="E112" s="59" t="s">
        <v>181</v>
      </c>
    </row>
    <row r="113">
      <c r="A113" s="28">
        <v>29.0</v>
      </c>
      <c r="B113" s="55" t="s">
        <v>126</v>
      </c>
      <c r="C113" s="55" t="s">
        <v>33</v>
      </c>
      <c r="D113" s="60" t="s">
        <v>52</v>
      </c>
      <c r="E113" s="59" t="s">
        <v>182</v>
      </c>
    </row>
    <row r="114">
      <c r="A114" s="28">
        <v>50.0</v>
      </c>
      <c r="B114" s="55" t="s">
        <v>126</v>
      </c>
      <c r="C114" s="55" t="s">
        <v>6</v>
      </c>
      <c r="D114" s="14" t="s">
        <v>58</v>
      </c>
      <c r="E114" s="59" t="s">
        <v>183</v>
      </c>
    </row>
    <row r="115">
      <c r="A115" s="28">
        <v>51.0</v>
      </c>
      <c r="B115" s="55" t="s">
        <v>126</v>
      </c>
      <c r="C115" s="55" t="s">
        <v>6</v>
      </c>
      <c r="D115" s="14" t="s">
        <v>11</v>
      </c>
      <c r="E115" s="59" t="s">
        <v>184</v>
      </c>
    </row>
    <row r="116">
      <c r="A116" s="28">
        <v>52.0</v>
      </c>
      <c r="B116" s="55" t="s">
        <v>126</v>
      </c>
      <c r="C116" s="55" t="s">
        <v>6</v>
      </c>
      <c r="D116" s="7" t="s">
        <v>27</v>
      </c>
      <c r="E116" s="59" t="s">
        <v>185</v>
      </c>
    </row>
    <row r="117">
      <c r="A117" s="55">
        <v>1.0</v>
      </c>
      <c r="B117" s="55" t="s">
        <v>126</v>
      </c>
      <c r="C117" s="55" t="s">
        <v>21</v>
      </c>
      <c r="D117" s="7" t="s">
        <v>22</v>
      </c>
      <c r="E117" s="59" t="s">
        <v>186</v>
      </c>
    </row>
    <row r="118">
      <c r="A118" s="55">
        <v>2.0</v>
      </c>
      <c r="B118" s="55" t="s">
        <v>126</v>
      </c>
      <c r="C118" s="55" t="s">
        <v>21</v>
      </c>
      <c r="D118" s="7" t="s">
        <v>22</v>
      </c>
      <c r="E118" s="59" t="s">
        <v>187</v>
      </c>
    </row>
    <row r="119">
      <c r="A119" s="28">
        <v>30.0</v>
      </c>
      <c r="B119" s="55" t="s">
        <v>126</v>
      </c>
      <c r="C119" s="55" t="s">
        <v>33</v>
      </c>
      <c r="D119" s="60" t="s">
        <v>52</v>
      </c>
      <c r="E119" s="59" t="s">
        <v>188</v>
      </c>
    </row>
    <row r="120">
      <c r="A120" s="28">
        <v>7.0</v>
      </c>
      <c r="B120" s="55" t="s">
        <v>126</v>
      </c>
      <c r="C120" s="55" t="s">
        <v>23</v>
      </c>
      <c r="D120" s="60" t="s">
        <v>189</v>
      </c>
      <c r="E120" s="59" t="s">
        <v>190</v>
      </c>
    </row>
    <row r="121">
      <c r="A121" s="28">
        <v>53.0</v>
      </c>
      <c r="B121" s="55" t="s">
        <v>126</v>
      </c>
      <c r="C121" s="55" t="s">
        <v>6</v>
      </c>
      <c r="D121" s="7" t="s">
        <v>19</v>
      </c>
      <c r="E121" s="59" t="s">
        <v>191</v>
      </c>
    </row>
    <row r="122">
      <c r="A122" s="28">
        <v>54.0</v>
      </c>
      <c r="B122" s="55" t="s">
        <v>126</v>
      </c>
      <c r="C122" s="55" t="s">
        <v>6</v>
      </c>
      <c r="D122" s="4" t="s">
        <v>12</v>
      </c>
      <c r="E122" s="59" t="s">
        <v>192</v>
      </c>
    </row>
    <row r="123">
      <c r="A123" s="28">
        <v>55.0</v>
      </c>
      <c r="B123" s="55" t="s">
        <v>126</v>
      </c>
      <c r="C123" s="55" t="s">
        <v>6</v>
      </c>
      <c r="D123" s="14" t="s">
        <v>58</v>
      </c>
      <c r="E123" s="59" t="s">
        <v>193</v>
      </c>
    </row>
    <row r="124">
      <c r="A124" s="28">
        <v>56.0</v>
      </c>
      <c r="B124" s="55" t="s">
        <v>126</v>
      </c>
      <c r="C124" s="55" t="s">
        <v>6</v>
      </c>
      <c r="D124" s="55" t="s">
        <v>19</v>
      </c>
      <c r="E124" s="59" t="s">
        <v>194</v>
      </c>
    </row>
    <row r="125">
      <c r="A125" s="28">
        <v>57.0</v>
      </c>
      <c r="B125" s="55" t="s">
        <v>126</v>
      </c>
      <c r="C125" s="55" t="s">
        <v>6</v>
      </c>
      <c r="D125" s="55" t="s">
        <v>19</v>
      </c>
      <c r="E125" s="59" t="s">
        <v>195</v>
      </c>
    </row>
    <row r="126">
      <c r="A126" s="28">
        <v>58.0</v>
      </c>
      <c r="B126" s="55" t="s">
        <v>126</v>
      </c>
      <c r="C126" s="55" t="s">
        <v>6</v>
      </c>
      <c r="D126" s="14" t="s">
        <v>58</v>
      </c>
      <c r="E126" s="59" t="s">
        <v>196</v>
      </c>
    </row>
    <row r="127">
      <c r="A127" s="28">
        <v>31.0</v>
      </c>
      <c r="B127" s="55" t="s">
        <v>126</v>
      </c>
      <c r="C127" s="55" t="s">
        <v>33</v>
      </c>
      <c r="D127" s="60" t="s">
        <v>52</v>
      </c>
      <c r="E127" s="59" t="s">
        <v>197</v>
      </c>
    </row>
    <row r="128">
      <c r="A128" s="28">
        <v>32.0</v>
      </c>
      <c r="B128" s="55" t="s">
        <v>126</v>
      </c>
      <c r="C128" s="55" t="s">
        <v>33</v>
      </c>
      <c r="D128" s="7" t="s">
        <v>15</v>
      </c>
      <c r="E128" s="59" t="s">
        <v>198</v>
      </c>
    </row>
    <row r="129">
      <c r="A129" s="28">
        <v>59.0</v>
      </c>
      <c r="B129" s="55" t="s">
        <v>126</v>
      </c>
      <c r="C129" s="55" t="s">
        <v>6</v>
      </c>
      <c r="D129" s="14" t="s">
        <v>58</v>
      </c>
      <c r="E129" s="59" t="s">
        <v>199</v>
      </c>
    </row>
    <row r="130">
      <c r="A130" s="28">
        <v>60.0</v>
      </c>
      <c r="B130" s="55" t="s">
        <v>126</v>
      </c>
      <c r="C130" s="55" t="s">
        <v>6</v>
      </c>
      <c r="D130" s="4" t="s">
        <v>12</v>
      </c>
      <c r="E130" s="59" t="s">
        <v>200</v>
      </c>
    </row>
    <row r="131">
      <c r="A131" s="28">
        <v>61.0</v>
      </c>
      <c r="B131" s="55" t="s">
        <v>126</v>
      </c>
      <c r="C131" s="55" t="s">
        <v>6</v>
      </c>
      <c r="D131" s="14" t="s">
        <v>8</v>
      </c>
      <c r="E131" s="59" t="s">
        <v>201</v>
      </c>
    </row>
    <row r="132">
      <c r="A132" s="28">
        <v>62.0</v>
      </c>
      <c r="B132" s="55" t="s">
        <v>126</v>
      </c>
      <c r="C132" s="55" t="s">
        <v>6</v>
      </c>
      <c r="D132" s="14" t="s">
        <v>8</v>
      </c>
      <c r="E132" s="59" t="s">
        <v>202</v>
      </c>
    </row>
    <row r="133">
      <c r="A133" s="28">
        <v>63.0</v>
      </c>
      <c r="B133" s="55" t="s">
        <v>126</v>
      </c>
      <c r="C133" s="55" t="s">
        <v>6</v>
      </c>
      <c r="D133" s="14" t="s">
        <v>11</v>
      </c>
      <c r="E133" s="59" t="s">
        <v>203</v>
      </c>
    </row>
    <row r="134">
      <c r="A134" s="28">
        <v>33.0</v>
      </c>
      <c r="B134" s="55" t="s">
        <v>126</v>
      </c>
      <c r="C134" s="55" t="s">
        <v>33</v>
      </c>
      <c r="D134" s="60" t="s">
        <v>52</v>
      </c>
      <c r="E134" s="59" t="s">
        <v>204</v>
      </c>
    </row>
    <row r="135">
      <c r="A135" s="28">
        <v>34.0</v>
      </c>
      <c r="B135" s="55" t="s">
        <v>126</v>
      </c>
      <c r="C135" s="55" t="s">
        <v>33</v>
      </c>
      <c r="D135" s="60" t="s">
        <v>52</v>
      </c>
      <c r="E135" s="59" t="s">
        <v>205</v>
      </c>
    </row>
    <row r="136">
      <c r="A136" s="28">
        <v>35.0</v>
      </c>
      <c r="B136" s="55" t="s">
        <v>126</v>
      </c>
      <c r="C136" s="55" t="s">
        <v>33</v>
      </c>
      <c r="D136" s="7" t="s">
        <v>37</v>
      </c>
      <c r="E136" s="59" t="s">
        <v>206</v>
      </c>
    </row>
    <row r="137">
      <c r="A137" s="28">
        <v>64.0</v>
      </c>
      <c r="B137" s="55" t="s">
        <v>126</v>
      </c>
      <c r="C137" s="55" t="s">
        <v>6</v>
      </c>
      <c r="D137" s="14" t="s">
        <v>18</v>
      </c>
      <c r="E137" s="59" t="s">
        <v>207</v>
      </c>
    </row>
    <row r="138">
      <c r="A138" s="28">
        <v>65.0</v>
      </c>
      <c r="B138" s="55" t="s">
        <v>126</v>
      </c>
      <c r="C138" s="55" t="s">
        <v>6</v>
      </c>
      <c r="D138" s="14" t="s">
        <v>18</v>
      </c>
      <c r="E138" s="59" t="s">
        <v>208</v>
      </c>
    </row>
    <row r="139">
      <c r="A139" s="28">
        <v>8.0</v>
      </c>
      <c r="B139" s="55" t="s">
        <v>126</v>
      </c>
      <c r="C139" s="55" t="s">
        <v>84</v>
      </c>
      <c r="D139" s="55" t="s">
        <v>84</v>
      </c>
      <c r="E139" s="59" t="s">
        <v>209</v>
      </c>
    </row>
    <row r="140">
      <c r="A140" s="28">
        <v>66.0</v>
      </c>
      <c r="B140" s="55" t="s">
        <v>126</v>
      </c>
      <c r="C140" s="55" t="s">
        <v>6</v>
      </c>
      <c r="D140" s="14" t="s">
        <v>8</v>
      </c>
      <c r="E140" s="59" t="s">
        <v>210</v>
      </c>
    </row>
    <row r="141">
      <c r="A141" s="28">
        <v>5.0</v>
      </c>
      <c r="B141" s="55" t="s">
        <v>126</v>
      </c>
      <c r="C141" s="55" t="s">
        <v>102</v>
      </c>
      <c r="D141" s="55" t="s">
        <v>33</v>
      </c>
      <c r="E141" s="59" t="s">
        <v>211</v>
      </c>
    </row>
    <row r="142">
      <c r="A142" s="28">
        <v>67.0</v>
      </c>
      <c r="B142" s="55" t="s">
        <v>126</v>
      </c>
      <c r="C142" s="4" t="s">
        <v>6</v>
      </c>
      <c r="D142" s="14" t="s">
        <v>58</v>
      </c>
      <c r="E142" s="59" t="s">
        <v>212</v>
      </c>
    </row>
    <row r="143">
      <c r="A143" s="28">
        <v>68.0</v>
      </c>
      <c r="B143" s="55" t="s">
        <v>126</v>
      </c>
      <c r="C143" s="55" t="s">
        <v>6</v>
      </c>
      <c r="D143" s="4" t="s">
        <v>213</v>
      </c>
      <c r="E143" s="59" t="s">
        <v>214</v>
      </c>
    </row>
    <row r="144">
      <c r="A144" s="28">
        <v>69.0</v>
      </c>
      <c r="B144" s="55" t="s">
        <v>126</v>
      </c>
      <c r="C144" s="55" t="s">
        <v>6</v>
      </c>
      <c r="D144" s="14" t="s">
        <v>8</v>
      </c>
      <c r="E144" s="59" t="s">
        <v>215</v>
      </c>
    </row>
    <row r="145">
      <c r="A145" s="28">
        <v>36.0</v>
      </c>
      <c r="B145" s="55" t="s">
        <v>126</v>
      </c>
      <c r="C145" s="55" t="s">
        <v>33</v>
      </c>
      <c r="D145" s="60" t="s">
        <v>52</v>
      </c>
      <c r="E145" s="59" t="s">
        <v>216</v>
      </c>
    </row>
    <row r="146">
      <c r="A146" s="28">
        <v>70.0</v>
      </c>
      <c r="B146" s="55" t="s">
        <v>126</v>
      </c>
      <c r="C146" s="55" t="s">
        <v>6</v>
      </c>
      <c r="D146" s="14" t="s">
        <v>58</v>
      </c>
      <c r="E146" s="59" t="s">
        <v>217</v>
      </c>
    </row>
    <row r="147">
      <c r="A147" s="28">
        <v>71.0</v>
      </c>
      <c r="B147" s="55" t="s">
        <v>126</v>
      </c>
      <c r="C147" s="55" t="s">
        <v>6</v>
      </c>
      <c r="D147" s="14" t="s">
        <v>18</v>
      </c>
      <c r="E147" s="64" t="s">
        <v>218</v>
      </c>
    </row>
    <row r="148">
      <c r="A148" s="28">
        <v>72.0</v>
      </c>
      <c r="B148" s="55" t="s">
        <v>126</v>
      </c>
      <c r="C148" s="55" t="s">
        <v>6</v>
      </c>
      <c r="D148" s="14" t="s">
        <v>58</v>
      </c>
      <c r="E148" s="59" t="s">
        <v>219</v>
      </c>
    </row>
    <row r="149">
      <c r="A149" s="28">
        <v>37.0</v>
      </c>
      <c r="B149" s="55" t="s">
        <v>126</v>
      </c>
      <c r="C149" s="55" t="s">
        <v>33</v>
      </c>
      <c r="D149" s="60" t="s">
        <v>52</v>
      </c>
      <c r="E149" s="59" t="s">
        <v>220</v>
      </c>
    </row>
    <row r="150">
      <c r="A150" s="28">
        <v>73.0</v>
      </c>
      <c r="B150" s="55" t="s">
        <v>126</v>
      </c>
      <c r="C150" s="55" t="s">
        <v>6</v>
      </c>
      <c r="D150" s="4" t="s">
        <v>26</v>
      </c>
      <c r="E150" s="59" t="s">
        <v>221</v>
      </c>
    </row>
    <row r="151">
      <c r="A151" s="28">
        <v>9.0</v>
      </c>
      <c r="B151" s="55" t="s">
        <v>126</v>
      </c>
      <c r="C151" s="55" t="s">
        <v>84</v>
      </c>
      <c r="D151" s="14" t="s">
        <v>33</v>
      </c>
      <c r="E151" s="59" t="s">
        <v>222</v>
      </c>
    </row>
    <row r="152">
      <c r="A152" s="28">
        <v>38.0</v>
      </c>
      <c r="B152" s="55" t="s">
        <v>126</v>
      </c>
      <c r="C152" s="55" t="s">
        <v>33</v>
      </c>
      <c r="D152" s="60" t="s">
        <v>52</v>
      </c>
      <c r="E152" s="59" t="s">
        <v>223</v>
      </c>
    </row>
    <row r="153">
      <c r="A153" s="28">
        <v>74.0</v>
      </c>
      <c r="B153" s="55" t="s">
        <v>126</v>
      </c>
      <c r="C153" s="55" t="s">
        <v>6</v>
      </c>
      <c r="D153" s="14" t="s">
        <v>58</v>
      </c>
      <c r="E153" s="59" t="s">
        <v>224</v>
      </c>
    </row>
    <row r="154">
      <c r="A154" s="28">
        <v>75.0</v>
      </c>
      <c r="B154" s="55" t="s">
        <v>126</v>
      </c>
      <c r="C154" s="55" t="s">
        <v>6</v>
      </c>
      <c r="D154" s="14" t="s">
        <v>8</v>
      </c>
      <c r="E154" s="59" t="s">
        <v>225</v>
      </c>
    </row>
    <row r="155">
      <c r="A155" s="28">
        <v>76.0</v>
      </c>
      <c r="B155" s="55" t="s">
        <v>126</v>
      </c>
      <c r="C155" s="55" t="s">
        <v>6</v>
      </c>
      <c r="D155" s="4" t="s">
        <v>12</v>
      </c>
      <c r="E155" s="59" t="s">
        <v>226</v>
      </c>
    </row>
    <row r="156">
      <c r="A156" s="28">
        <v>14.0</v>
      </c>
      <c r="B156" s="55" t="s">
        <v>126</v>
      </c>
      <c r="C156" s="55" t="s">
        <v>44</v>
      </c>
      <c r="D156" s="14" t="s">
        <v>10</v>
      </c>
      <c r="E156" s="59" t="s">
        <v>227</v>
      </c>
    </row>
    <row r="157">
      <c r="A157" s="28">
        <v>15.0</v>
      </c>
      <c r="B157" s="55" t="s">
        <v>126</v>
      </c>
      <c r="C157" s="55" t="s">
        <v>44</v>
      </c>
      <c r="D157" s="14" t="s">
        <v>10</v>
      </c>
      <c r="E157" s="59" t="s">
        <v>228</v>
      </c>
    </row>
    <row r="158">
      <c r="A158" s="28">
        <v>77.0</v>
      </c>
      <c r="B158" s="55" t="s">
        <v>126</v>
      </c>
      <c r="C158" s="55" t="s">
        <v>6</v>
      </c>
      <c r="D158" s="14" t="s">
        <v>11</v>
      </c>
      <c r="E158" s="59" t="s">
        <v>229</v>
      </c>
    </row>
    <row r="159">
      <c r="A159" s="28">
        <v>78.0</v>
      </c>
      <c r="B159" s="55" t="s">
        <v>126</v>
      </c>
      <c r="C159" s="55" t="s">
        <v>6</v>
      </c>
      <c r="D159" s="14" t="s">
        <v>58</v>
      </c>
      <c r="E159" s="59" t="s">
        <v>230</v>
      </c>
    </row>
    <row r="160">
      <c r="A160" s="28">
        <v>79.0</v>
      </c>
      <c r="B160" s="55" t="s">
        <v>126</v>
      </c>
      <c r="C160" s="55" t="s">
        <v>6</v>
      </c>
      <c r="D160" s="4" t="s">
        <v>231</v>
      </c>
      <c r="E160" s="59" t="s">
        <v>232</v>
      </c>
    </row>
    <row r="161">
      <c r="A161" s="28">
        <v>80.0</v>
      </c>
      <c r="B161" s="55" t="s">
        <v>126</v>
      </c>
      <c r="C161" s="55" t="s">
        <v>6</v>
      </c>
      <c r="D161" s="4" t="s">
        <v>12</v>
      </c>
      <c r="E161" s="59" t="s">
        <v>233</v>
      </c>
    </row>
    <row r="162">
      <c r="A162" s="55">
        <v>3.0</v>
      </c>
      <c r="B162" s="55" t="s">
        <v>126</v>
      </c>
      <c r="C162" s="55" t="s">
        <v>21</v>
      </c>
      <c r="D162" s="7" t="s">
        <v>22</v>
      </c>
      <c r="E162" s="59" t="s">
        <v>234</v>
      </c>
    </row>
    <row r="163">
      <c r="A163" s="28">
        <v>81.0</v>
      </c>
      <c r="B163" s="55" t="s">
        <v>126</v>
      </c>
      <c r="C163" s="55" t="s">
        <v>6</v>
      </c>
      <c r="D163" s="4" t="s">
        <v>12</v>
      </c>
      <c r="E163" s="59" t="s">
        <v>235</v>
      </c>
    </row>
    <row r="164">
      <c r="A164" s="28">
        <v>82.0</v>
      </c>
      <c r="B164" s="55" t="s">
        <v>126</v>
      </c>
      <c r="C164" s="55" t="s">
        <v>6</v>
      </c>
      <c r="D164" s="7" t="s">
        <v>20</v>
      </c>
      <c r="E164" s="59" t="s">
        <v>236</v>
      </c>
    </row>
    <row r="165">
      <c r="A165" s="28">
        <v>16.0</v>
      </c>
      <c r="B165" s="55" t="s">
        <v>126</v>
      </c>
      <c r="C165" s="55" t="s">
        <v>44</v>
      </c>
      <c r="D165" s="31" t="s">
        <v>77</v>
      </c>
      <c r="E165" s="59" t="s">
        <v>237</v>
      </c>
    </row>
    <row r="166">
      <c r="A166" s="55"/>
      <c r="B166" s="55" t="s">
        <v>126</v>
      </c>
      <c r="C166" s="55" t="s">
        <v>16</v>
      </c>
      <c r="D166" s="14" t="s">
        <v>174</v>
      </c>
      <c r="E166" s="59" t="s">
        <v>238</v>
      </c>
    </row>
    <row r="167">
      <c r="A167" s="28">
        <v>83.0</v>
      </c>
      <c r="B167" s="55" t="s">
        <v>126</v>
      </c>
      <c r="C167" s="55" t="s">
        <v>6</v>
      </c>
      <c r="D167" s="4" t="s">
        <v>239</v>
      </c>
      <c r="E167" s="59" t="s">
        <v>240</v>
      </c>
    </row>
    <row r="168">
      <c r="A168" s="28">
        <v>84.0</v>
      </c>
      <c r="B168" s="55" t="s">
        <v>126</v>
      </c>
      <c r="C168" s="55" t="s">
        <v>6</v>
      </c>
      <c r="D168" s="14" t="s">
        <v>18</v>
      </c>
      <c r="E168" s="59" t="s">
        <v>241</v>
      </c>
    </row>
    <row r="169">
      <c r="A169" s="28">
        <v>85.0</v>
      </c>
      <c r="B169" s="55" t="s">
        <v>126</v>
      </c>
      <c r="C169" s="55" t="s">
        <v>6</v>
      </c>
      <c r="D169" s="14" t="s">
        <v>8</v>
      </c>
      <c r="E169" s="59" t="s">
        <v>242</v>
      </c>
    </row>
    <row r="170">
      <c r="A170" s="55">
        <v>4.0</v>
      </c>
      <c r="B170" s="55" t="s">
        <v>126</v>
      </c>
      <c r="C170" s="55" t="s">
        <v>21</v>
      </c>
      <c r="D170" s="7" t="s">
        <v>22</v>
      </c>
      <c r="E170" s="59" t="s">
        <v>243</v>
      </c>
    </row>
    <row r="171">
      <c r="A171" s="28">
        <v>39.0</v>
      </c>
      <c r="B171" s="55" t="s">
        <v>126</v>
      </c>
      <c r="C171" s="55" t="s">
        <v>33</v>
      </c>
      <c r="D171" s="60" t="s">
        <v>52</v>
      </c>
      <c r="E171" s="59" t="s">
        <v>244</v>
      </c>
    </row>
    <row r="172">
      <c r="A172" s="28">
        <v>86.0</v>
      </c>
      <c r="B172" s="55" t="s">
        <v>126</v>
      </c>
      <c r="C172" s="55" t="s">
        <v>6</v>
      </c>
      <c r="D172" s="14" t="s">
        <v>8</v>
      </c>
      <c r="E172" s="59" t="s">
        <v>245</v>
      </c>
    </row>
    <row r="173">
      <c r="A173" s="55"/>
      <c r="B173" s="55" t="s">
        <v>126</v>
      </c>
      <c r="C173" s="55" t="s">
        <v>16</v>
      </c>
      <c r="D173" s="14" t="s">
        <v>174</v>
      </c>
      <c r="E173" s="59" t="s">
        <v>246</v>
      </c>
    </row>
    <row r="174">
      <c r="A174" s="28">
        <v>87.0</v>
      </c>
      <c r="B174" s="55" t="s">
        <v>126</v>
      </c>
      <c r="C174" s="55" t="s">
        <v>6</v>
      </c>
      <c r="D174" s="7" t="s">
        <v>27</v>
      </c>
      <c r="E174" s="59" t="s">
        <v>247</v>
      </c>
    </row>
    <row r="175">
      <c r="A175" s="28">
        <v>17.0</v>
      </c>
      <c r="B175" s="55" t="s">
        <v>126</v>
      </c>
      <c r="C175" s="55" t="s">
        <v>44</v>
      </c>
      <c r="D175" s="14" t="s">
        <v>10</v>
      </c>
      <c r="E175" s="59" t="s">
        <v>248</v>
      </c>
    </row>
    <row r="176">
      <c r="A176" s="28">
        <v>18.0</v>
      </c>
      <c r="B176" s="55" t="s">
        <v>126</v>
      </c>
      <c r="C176" s="55" t="s">
        <v>44</v>
      </c>
      <c r="D176" s="15" t="s">
        <v>14</v>
      </c>
      <c r="E176" s="59" t="s">
        <v>249</v>
      </c>
    </row>
    <row r="177">
      <c r="A177" s="28">
        <v>19.0</v>
      </c>
      <c r="B177" s="55" t="s">
        <v>126</v>
      </c>
      <c r="C177" s="55" t="s">
        <v>44</v>
      </c>
      <c r="D177" s="15" t="s">
        <v>14</v>
      </c>
      <c r="E177" s="59" t="s">
        <v>250</v>
      </c>
    </row>
    <row r="178">
      <c r="A178" s="28">
        <v>40.0</v>
      </c>
      <c r="B178" s="55" t="s">
        <v>126</v>
      </c>
      <c r="C178" s="55" t="s">
        <v>33</v>
      </c>
      <c r="D178" s="14" t="s">
        <v>33</v>
      </c>
      <c r="E178" s="59" t="s">
        <v>251</v>
      </c>
    </row>
    <row r="179">
      <c r="A179" s="28">
        <v>88.0</v>
      </c>
      <c r="B179" s="55" t="s">
        <v>126</v>
      </c>
      <c r="C179" s="55" t="s">
        <v>6</v>
      </c>
      <c r="D179" s="7" t="s">
        <v>20</v>
      </c>
      <c r="E179" s="59" t="s">
        <v>252</v>
      </c>
    </row>
    <row r="180">
      <c r="A180" s="28">
        <v>89.0</v>
      </c>
      <c r="B180" s="55" t="s">
        <v>126</v>
      </c>
      <c r="C180" s="55" t="s">
        <v>6</v>
      </c>
      <c r="D180" s="4" t="s">
        <v>253</v>
      </c>
      <c r="E180" s="59" t="s">
        <v>254</v>
      </c>
    </row>
    <row r="181">
      <c r="A181" s="28">
        <v>20.0</v>
      </c>
      <c r="B181" s="55" t="s">
        <v>126</v>
      </c>
      <c r="C181" s="55" t="s">
        <v>44</v>
      </c>
      <c r="D181" s="14" t="s">
        <v>10</v>
      </c>
      <c r="E181" s="59" t="s">
        <v>255</v>
      </c>
    </row>
    <row r="182">
      <c r="A182" s="28">
        <v>90.0</v>
      </c>
      <c r="B182" s="55" t="s">
        <v>126</v>
      </c>
      <c r="C182" s="55" t="s">
        <v>6</v>
      </c>
      <c r="D182" s="4" t="s">
        <v>12</v>
      </c>
      <c r="E182" s="59" t="s">
        <v>256</v>
      </c>
    </row>
    <row r="183">
      <c r="A183" s="55">
        <v>5.0</v>
      </c>
      <c r="B183" s="55" t="s">
        <v>126</v>
      </c>
      <c r="C183" s="55" t="s">
        <v>21</v>
      </c>
      <c r="D183" s="14" t="s">
        <v>11</v>
      </c>
      <c r="E183" s="59" t="s">
        <v>257</v>
      </c>
    </row>
    <row r="184">
      <c r="A184" s="55">
        <v>6.0</v>
      </c>
      <c r="B184" s="55" t="s">
        <v>126</v>
      </c>
      <c r="C184" s="55" t="s">
        <v>21</v>
      </c>
      <c r="D184" s="14" t="s">
        <v>11</v>
      </c>
      <c r="E184" s="59" t="s">
        <v>258</v>
      </c>
    </row>
    <row r="185">
      <c r="A185" s="28">
        <v>91.0</v>
      </c>
      <c r="B185" s="55" t="s">
        <v>126</v>
      </c>
      <c r="C185" s="55" t="s">
        <v>6</v>
      </c>
      <c r="D185" s="14" t="s">
        <v>8</v>
      </c>
      <c r="E185" s="59" t="s">
        <v>259</v>
      </c>
    </row>
    <row r="186">
      <c r="A186" s="28">
        <v>92.0</v>
      </c>
      <c r="B186" s="55" t="s">
        <v>126</v>
      </c>
      <c r="C186" s="55" t="s">
        <v>6</v>
      </c>
      <c r="D186" s="4" t="s">
        <v>260</v>
      </c>
      <c r="E186" s="59" t="s">
        <v>261</v>
      </c>
    </row>
    <row r="187">
      <c r="A187" s="28">
        <v>41.0</v>
      </c>
      <c r="B187" s="55" t="s">
        <v>126</v>
      </c>
      <c r="C187" s="55" t="s">
        <v>33</v>
      </c>
      <c r="D187" s="7" t="s">
        <v>15</v>
      </c>
      <c r="E187" s="59" t="s">
        <v>262</v>
      </c>
    </row>
    <row r="188">
      <c r="A188" s="28">
        <v>93.0</v>
      </c>
      <c r="B188" s="55" t="s">
        <v>126</v>
      </c>
      <c r="C188" s="55" t="s">
        <v>6</v>
      </c>
      <c r="D188" s="7" t="s">
        <v>19</v>
      </c>
      <c r="E188" s="59" t="s">
        <v>263</v>
      </c>
    </row>
    <row r="189">
      <c r="A189" s="28">
        <v>21.0</v>
      </c>
      <c r="B189" s="55" t="s">
        <v>126</v>
      </c>
      <c r="C189" s="55" t="s">
        <v>44</v>
      </c>
      <c r="D189" s="15" t="s">
        <v>14</v>
      </c>
      <c r="E189" s="59" t="s">
        <v>264</v>
      </c>
    </row>
    <row r="190">
      <c r="A190" s="28">
        <v>94.0</v>
      </c>
      <c r="B190" s="55" t="s">
        <v>126</v>
      </c>
      <c r="C190" s="55" t="s">
        <v>6</v>
      </c>
      <c r="D190" s="14" t="s">
        <v>58</v>
      </c>
      <c r="E190" s="59" t="s">
        <v>265</v>
      </c>
    </row>
    <row r="191">
      <c r="A191" s="28">
        <v>95.0</v>
      </c>
      <c r="B191" s="55" t="s">
        <v>126</v>
      </c>
      <c r="C191" s="55" t="s">
        <v>6</v>
      </c>
      <c r="D191" s="14" t="s">
        <v>58</v>
      </c>
      <c r="E191" s="59" t="s">
        <v>266</v>
      </c>
    </row>
    <row r="192">
      <c r="A192" s="28">
        <v>96.0</v>
      </c>
      <c r="B192" s="55" t="s">
        <v>126</v>
      </c>
      <c r="C192" s="55" t="s">
        <v>6</v>
      </c>
      <c r="D192" s="14" t="s">
        <v>11</v>
      </c>
      <c r="E192" s="59" t="s">
        <v>267</v>
      </c>
    </row>
    <row r="193">
      <c r="A193" s="55"/>
      <c r="B193" s="55" t="s">
        <v>126</v>
      </c>
      <c r="C193" s="55" t="s">
        <v>16</v>
      </c>
      <c r="D193" s="14" t="s">
        <v>174</v>
      </c>
      <c r="E193" s="59" t="s">
        <v>268</v>
      </c>
    </row>
    <row r="194">
      <c r="A194" s="28">
        <v>22.0</v>
      </c>
      <c r="B194" s="55" t="s">
        <v>126</v>
      </c>
      <c r="C194" s="55" t="s">
        <v>44</v>
      </c>
      <c r="D194" s="15" t="s">
        <v>14</v>
      </c>
      <c r="E194" s="59" t="s">
        <v>269</v>
      </c>
    </row>
    <row r="195">
      <c r="A195" s="28">
        <v>97.0</v>
      </c>
      <c r="B195" s="55" t="s">
        <v>126</v>
      </c>
      <c r="C195" s="55" t="s">
        <v>6</v>
      </c>
      <c r="D195" s="4" t="s">
        <v>12</v>
      </c>
      <c r="E195" s="59" t="s">
        <v>270</v>
      </c>
    </row>
    <row r="196">
      <c r="A196" s="28">
        <v>23.0</v>
      </c>
      <c r="B196" s="55" t="s">
        <v>126</v>
      </c>
      <c r="C196" s="55" t="s">
        <v>44</v>
      </c>
      <c r="D196" s="31" t="s">
        <v>10</v>
      </c>
      <c r="E196" s="59" t="s">
        <v>271</v>
      </c>
    </row>
    <row r="197">
      <c r="A197" s="28">
        <v>24.0</v>
      </c>
      <c r="B197" s="55" t="s">
        <v>126</v>
      </c>
      <c r="C197" s="55" t="s">
        <v>44</v>
      </c>
      <c r="D197" s="15" t="s">
        <v>14</v>
      </c>
      <c r="E197" s="59" t="s">
        <v>272</v>
      </c>
    </row>
    <row r="198">
      <c r="A198" s="28">
        <v>42.0</v>
      </c>
      <c r="B198" s="55" t="s">
        <v>126</v>
      </c>
      <c r="C198" s="55" t="s">
        <v>33</v>
      </c>
      <c r="D198" s="7" t="s">
        <v>37</v>
      </c>
      <c r="E198" s="59" t="s">
        <v>273</v>
      </c>
    </row>
    <row r="199">
      <c r="A199" s="28">
        <v>43.0</v>
      </c>
      <c r="B199" s="55" t="s">
        <v>126</v>
      </c>
      <c r="C199" s="55" t="s">
        <v>33</v>
      </c>
      <c r="D199" s="4" t="s">
        <v>15</v>
      </c>
      <c r="E199" s="59" t="s">
        <v>274</v>
      </c>
    </row>
    <row r="200">
      <c r="A200" s="28">
        <v>44.0</v>
      </c>
      <c r="B200" s="55" t="s">
        <v>126</v>
      </c>
      <c r="C200" s="55" t="s">
        <v>33</v>
      </c>
      <c r="D200" s="4" t="s">
        <v>15</v>
      </c>
      <c r="E200" s="59" t="s">
        <v>275</v>
      </c>
    </row>
    <row r="201">
      <c r="A201" s="28">
        <v>98.0</v>
      </c>
      <c r="B201" s="55" t="s">
        <v>126</v>
      </c>
      <c r="C201" s="55" t="s">
        <v>6</v>
      </c>
      <c r="D201" s="4" t="s">
        <v>276</v>
      </c>
      <c r="E201" s="59" t="s">
        <v>277</v>
      </c>
    </row>
    <row r="202">
      <c r="A202" s="28">
        <v>45.0</v>
      </c>
      <c r="B202" s="55" t="s">
        <v>126</v>
      </c>
      <c r="C202" s="55" t="s">
        <v>33</v>
      </c>
      <c r="D202" s="60" t="s">
        <v>52</v>
      </c>
      <c r="E202" s="59" t="s">
        <v>278</v>
      </c>
    </row>
    <row r="203">
      <c r="A203" s="28">
        <v>46.0</v>
      </c>
      <c r="B203" s="55" t="s">
        <v>126</v>
      </c>
      <c r="C203" s="55" t="s">
        <v>33</v>
      </c>
      <c r="D203" s="4" t="s">
        <v>15</v>
      </c>
      <c r="E203" s="59" t="s">
        <v>279</v>
      </c>
    </row>
    <row r="204">
      <c r="A204" s="28">
        <v>99.0</v>
      </c>
      <c r="B204" s="55" t="s">
        <v>126</v>
      </c>
      <c r="C204" s="55" t="s">
        <v>6</v>
      </c>
      <c r="D204" s="14" t="s">
        <v>8</v>
      </c>
      <c r="E204" s="59" t="s">
        <v>280</v>
      </c>
    </row>
    <row r="205">
      <c r="A205" s="28">
        <v>100.0</v>
      </c>
      <c r="B205" s="55" t="s">
        <v>126</v>
      </c>
      <c r="C205" s="55" t="s">
        <v>6</v>
      </c>
      <c r="D205" s="14" t="s">
        <v>8</v>
      </c>
      <c r="E205" s="59" t="s">
        <v>281</v>
      </c>
    </row>
    <row r="206">
      <c r="A206" s="28">
        <v>101.0</v>
      </c>
      <c r="B206" s="55" t="s">
        <v>126</v>
      </c>
      <c r="C206" s="55" t="s">
        <v>6</v>
      </c>
      <c r="D206" s="14" t="s">
        <v>8</v>
      </c>
      <c r="E206" s="59" t="s">
        <v>282</v>
      </c>
    </row>
    <row r="207">
      <c r="A207" s="28">
        <v>102.0</v>
      </c>
      <c r="B207" s="55" t="s">
        <v>126</v>
      </c>
      <c r="C207" s="55" t="s">
        <v>6</v>
      </c>
      <c r="D207" s="4" t="s">
        <v>283</v>
      </c>
      <c r="E207" s="59" t="s">
        <v>284</v>
      </c>
    </row>
    <row r="208">
      <c r="A208" s="55"/>
      <c r="B208" s="55" t="s">
        <v>126</v>
      </c>
      <c r="C208" s="55" t="s">
        <v>16</v>
      </c>
      <c r="D208" s="14" t="s">
        <v>174</v>
      </c>
      <c r="E208" s="59" t="s">
        <v>285</v>
      </c>
    </row>
    <row r="209">
      <c r="A209" s="28">
        <v>103.0</v>
      </c>
      <c r="B209" s="55" t="s">
        <v>126</v>
      </c>
      <c r="C209" s="55" t="s">
        <v>6</v>
      </c>
      <c r="D209" s="4" t="s">
        <v>286</v>
      </c>
      <c r="E209" s="59" t="s">
        <v>287</v>
      </c>
    </row>
    <row r="210">
      <c r="A210" s="28">
        <v>25.0</v>
      </c>
      <c r="B210" s="55" t="s">
        <v>126</v>
      </c>
      <c r="C210" s="55" t="s">
        <v>44</v>
      </c>
      <c r="D210" s="31" t="s">
        <v>10</v>
      </c>
      <c r="E210" s="59" t="s">
        <v>288</v>
      </c>
    </row>
    <row r="211">
      <c r="A211" s="28">
        <v>26.0</v>
      </c>
      <c r="B211" s="55" t="s">
        <v>126</v>
      </c>
      <c r="C211" s="55" t="s">
        <v>44</v>
      </c>
      <c r="D211" s="31" t="s">
        <v>10</v>
      </c>
      <c r="E211" s="59" t="s">
        <v>289</v>
      </c>
    </row>
    <row r="212">
      <c r="A212" s="28">
        <v>10.0</v>
      </c>
      <c r="B212" s="55" t="s">
        <v>126</v>
      </c>
      <c r="C212" s="55" t="s">
        <v>84</v>
      </c>
      <c r="D212" s="14" t="s">
        <v>33</v>
      </c>
      <c r="E212" s="59" t="s">
        <v>290</v>
      </c>
    </row>
    <row r="213">
      <c r="A213" s="28">
        <v>104.0</v>
      </c>
      <c r="B213" s="55" t="s">
        <v>126</v>
      </c>
      <c r="C213" s="55" t="s">
        <v>6</v>
      </c>
      <c r="D213" s="4" t="s">
        <v>12</v>
      </c>
      <c r="E213" s="59" t="s">
        <v>291</v>
      </c>
    </row>
    <row r="214">
      <c r="A214" s="28">
        <v>105.0</v>
      </c>
      <c r="B214" s="55" t="s">
        <v>126</v>
      </c>
      <c r="C214" s="55" t="s">
        <v>6</v>
      </c>
      <c r="D214" s="4" t="s">
        <v>32</v>
      </c>
      <c r="E214" s="59" t="s">
        <v>292</v>
      </c>
    </row>
    <row r="215">
      <c r="A215" s="28">
        <v>27.0</v>
      </c>
      <c r="B215" s="55" t="s">
        <v>126</v>
      </c>
      <c r="C215" s="55" t="s">
        <v>44</v>
      </c>
      <c r="D215" s="31" t="s">
        <v>10</v>
      </c>
      <c r="E215" s="59" t="s">
        <v>293</v>
      </c>
    </row>
    <row r="216">
      <c r="A216" s="28">
        <v>47.0</v>
      </c>
      <c r="B216" s="55" t="s">
        <v>126</v>
      </c>
      <c r="C216" s="55" t="s">
        <v>33</v>
      </c>
      <c r="D216" s="60" t="s">
        <v>52</v>
      </c>
      <c r="E216" s="59" t="s">
        <v>294</v>
      </c>
    </row>
    <row r="217">
      <c r="A217" s="28">
        <v>48.0</v>
      </c>
      <c r="B217" s="55" t="s">
        <v>126</v>
      </c>
      <c r="C217" s="55" t="s">
        <v>33</v>
      </c>
      <c r="D217" s="60" t="s">
        <v>52</v>
      </c>
      <c r="E217" s="59" t="s">
        <v>295</v>
      </c>
    </row>
    <row r="218">
      <c r="A218" s="28">
        <v>106.0</v>
      </c>
      <c r="B218" s="55" t="s">
        <v>126</v>
      </c>
      <c r="C218" s="55" t="s">
        <v>6</v>
      </c>
      <c r="D218" s="14" t="s">
        <v>8</v>
      </c>
      <c r="E218" s="59" t="s">
        <v>296</v>
      </c>
    </row>
    <row r="219">
      <c r="A219" s="28">
        <v>107.0</v>
      </c>
      <c r="B219" s="55" t="s">
        <v>126</v>
      </c>
      <c r="C219" s="55" t="s">
        <v>6</v>
      </c>
      <c r="D219" s="14" t="s">
        <v>11</v>
      </c>
      <c r="E219" s="59" t="s">
        <v>297</v>
      </c>
    </row>
    <row r="220">
      <c r="A220" s="28">
        <v>108.0</v>
      </c>
      <c r="B220" s="55" t="s">
        <v>126</v>
      </c>
      <c r="C220" s="55" t="s">
        <v>6</v>
      </c>
      <c r="D220" s="4" t="s">
        <v>32</v>
      </c>
      <c r="E220" s="59" t="s">
        <v>298</v>
      </c>
    </row>
    <row r="221">
      <c r="A221" s="28">
        <v>49.0</v>
      </c>
      <c r="B221" s="55" t="s">
        <v>126</v>
      </c>
      <c r="C221" s="55" t="s">
        <v>33</v>
      </c>
      <c r="D221" s="60" t="s">
        <v>52</v>
      </c>
      <c r="E221" s="59" t="s">
        <v>299</v>
      </c>
    </row>
    <row r="222">
      <c r="A222" s="28">
        <v>109.0</v>
      </c>
      <c r="B222" s="55" t="s">
        <v>126</v>
      </c>
      <c r="C222" s="55" t="s">
        <v>6</v>
      </c>
      <c r="D222" s="4" t="s">
        <v>300</v>
      </c>
      <c r="E222" s="59" t="s">
        <v>301</v>
      </c>
    </row>
    <row r="223">
      <c r="A223" s="28">
        <v>11.0</v>
      </c>
      <c r="B223" s="55" t="s">
        <v>126</v>
      </c>
      <c r="C223" s="55" t="s">
        <v>84</v>
      </c>
      <c r="D223" s="7" t="s">
        <v>37</v>
      </c>
      <c r="E223" s="59" t="s">
        <v>302</v>
      </c>
    </row>
    <row r="224">
      <c r="A224" s="28">
        <v>28.0</v>
      </c>
      <c r="B224" s="55" t="s">
        <v>126</v>
      </c>
      <c r="C224" s="55" t="s">
        <v>44</v>
      </c>
      <c r="D224" s="31" t="s">
        <v>10</v>
      </c>
      <c r="E224" s="59" t="s">
        <v>303</v>
      </c>
    </row>
    <row r="225">
      <c r="A225" s="28">
        <v>29.0</v>
      </c>
      <c r="B225" s="55" t="s">
        <v>126</v>
      </c>
      <c r="C225" s="55" t="s">
        <v>44</v>
      </c>
      <c r="D225" s="15" t="s">
        <v>14</v>
      </c>
      <c r="E225" s="59" t="s">
        <v>304</v>
      </c>
    </row>
    <row r="226">
      <c r="A226" s="28">
        <v>110.0</v>
      </c>
      <c r="B226" s="55" t="s">
        <v>126</v>
      </c>
      <c r="C226" s="55" t="s">
        <v>6</v>
      </c>
      <c r="D226" s="14" t="s">
        <v>11</v>
      </c>
      <c r="E226" s="59" t="s">
        <v>305</v>
      </c>
    </row>
    <row r="227">
      <c r="A227" s="28">
        <v>111.0</v>
      </c>
      <c r="B227" s="55" t="s">
        <v>126</v>
      </c>
      <c r="C227" s="55" t="s">
        <v>6</v>
      </c>
      <c r="D227" s="14" t="s">
        <v>11</v>
      </c>
      <c r="E227" s="59" t="s">
        <v>306</v>
      </c>
    </row>
    <row r="228">
      <c r="A228" s="28">
        <v>50.0</v>
      </c>
      <c r="B228" s="55" t="s">
        <v>126</v>
      </c>
      <c r="C228" s="55" t="s">
        <v>33</v>
      </c>
      <c r="D228" s="60" t="s">
        <v>52</v>
      </c>
      <c r="E228" s="59" t="s">
        <v>307</v>
      </c>
    </row>
    <row r="229">
      <c r="A229" s="28">
        <v>112.0</v>
      </c>
      <c r="B229" s="55" t="s">
        <v>126</v>
      </c>
      <c r="C229" s="55" t="s">
        <v>6</v>
      </c>
      <c r="D229" s="4" t="s">
        <v>32</v>
      </c>
      <c r="E229" s="59" t="s">
        <v>308</v>
      </c>
    </row>
    <row r="230">
      <c r="A230" s="28">
        <v>51.0</v>
      </c>
      <c r="B230" s="55" t="s">
        <v>126</v>
      </c>
      <c r="C230" s="55" t="s">
        <v>33</v>
      </c>
      <c r="D230" s="60" t="s">
        <v>52</v>
      </c>
      <c r="E230" s="59" t="s">
        <v>309</v>
      </c>
    </row>
    <row r="231">
      <c r="A231" s="28">
        <v>113.0</v>
      </c>
      <c r="B231" s="55" t="s">
        <v>126</v>
      </c>
      <c r="C231" s="55" t="s">
        <v>6</v>
      </c>
      <c r="D231" s="7" t="s">
        <v>27</v>
      </c>
      <c r="E231" s="59" t="s">
        <v>310</v>
      </c>
    </row>
    <row r="232">
      <c r="A232" s="28">
        <v>114.0</v>
      </c>
      <c r="B232" s="55" t="s">
        <v>126</v>
      </c>
      <c r="C232" s="55" t="s">
        <v>6</v>
      </c>
      <c r="D232" s="14" t="s">
        <v>8</v>
      </c>
      <c r="E232" s="59" t="s">
        <v>311</v>
      </c>
    </row>
    <row r="233">
      <c r="A233" s="28">
        <v>115.0</v>
      </c>
      <c r="B233" s="55" t="s">
        <v>126</v>
      </c>
      <c r="C233" s="55" t="s">
        <v>6</v>
      </c>
      <c r="D233" s="14" t="s">
        <v>58</v>
      </c>
      <c r="E233" s="59" t="s">
        <v>312</v>
      </c>
    </row>
    <row r="234">
      <c r="A234" s="28">
        <v>116.0</v>
      </c>
      <c r="B234" s="55" t="s">
        <v>126</v>
      </c>
      <c r="C234" s="55" t="s">
        <v>6</v>
      </c>
      <c r="D234" s="4" t="s">
        <v>313</v>
      </c>
      <c r="E234" s="59" t="s">
        <v>314</v>
      </c>
    </row>
    <row r="235">
      <c r="A235" s="55">
        <v>7.0</v>
      </c>
      <c r="B235" s="55" t="s">
        <v>126</v>
      </c>
      <c r="C235" s="55" t="s">
        <v>21</v>
      </c>
      <c r="D235" s="55" t="s">
        <v>24</v>
      </c>
      <c r="E235" s="59" t="s">
        <v>315</v>
      </c>
    </row>
    <row r="236">
      <c r="A236" s="28">
        <v>117.0</v>
      </c>
      <c r="B236" s="55" t="s">
        <v>126</v>
      </c>
      <c r="C236" s="55" t="s">
        <v>6</v>
      </c>
      <c r="D236" s="7" t="s">
        <v>19</v>
      </c>
      <c r="E236" s="59" t="s">
        <v>316</v>
      </c>
    </row>
    <row r="237">
      <c r="A237" s="28">
        <v>6.0</v>
      </c>
      <c r="B237" s="55" t="s">
        <v>126</v>
      </c>
      <c r="C237" s="55" t="s">
        <v>102</v>
      </c>
      <c r="D237" s="4" t="s">
        <v>38</v>
      </c>
      <c r="E237" s="59" t="s">
        <v>317</v>
      </c>
    </row>
    <row r="238">
      <c r="A238" s="28">
        <v>118.0</v>
      </c>
      <c r="B238" s="55" t="s">
        <v>126</v>
      </c>
      <c r="C238" s="55" t="s">
        <v>6</v>
      </c>
      <c r="D238" s="55" t="s">
        <v>19</v>
      </c>
      <c r="E238" s="59" t="s">
        <v>318</v>
      </c>
    </row>
    <row r="239">
      <c r="A239" s="28">
        <v>52.0</v>
      </c>
      <c r="B239" s="55" t="s">
        <v>126</v>
      </c>
      <c r="C239" s="55" t="s">
        <v>33</v>
      </c>
      <c r="D239" s="60" t="s">
        <v>52</v>
      </c>
      <c r="E239" s="59" t="s">
        <v>319</v>
      </c>
    </row>
    <row r="240">
      <c r="A240" s="28">
        <v>30.0</v>
      </c>
      <c r="B240" s="55" t="s">
        <v>126</v>
      </c>
      <c r="C240" s="55" t="s">
        <v>44</v>
      </c>
      <c r="D240" s="15" t="s">
        <v>14</v>
      </c>
      <c r="E240" s="59" t="s">
        <v>320</v>
      </c>
    </row>
    <row r="241">
      <c r="A241" s="28">
        <v>119.0</v>
      </c>
      <c r="B241" s="55" t="s">
        <v>126</v>
      </c>
      <c r="C241" s="55" t="s">
        <v>6</v>
      </c>
      <c r="D241" s="14" t="s">
        <v>11</v>
      </c>
      <c r="E241" s="59" t="s">
        <v>321</v>
      </c>
    </row>
    <row r="242">
      <c r="A242" s="28">
        <v>53.0</v>
      </c>
      <c r="B242" s="55" t="s">
        <v>126</v>
      </c>
      <c r="C242" s="55" t="s">
        <v>33</v>
      </c>
      <c r="D242" s="60" t="s">
        <v>52</v>
      </c>
      <c r="E242" s="59" t="s">
        <v>322</v>
      </c>
    </row>
    <row r="243">
      <c r="A243" s="28">
        <v>54.0</v>
      </c>
      <c r="B243" s="55" t="s">
        <v>126</v>
      </c>
      <c r="C243" s="55" t="s">
        <v>33</v>
      </c>
      <c r="D243" s="60" t="s">
        <v>52</v>
      </c>
      <c r="E243" s="59" t="s">
        <v>323</v>
      </c>
    </row>
    <row r="244">
      <c r="A244" s="28">
        <v>120.0</v>
      </c>
      <c r="B244" s="55" t="s">
        <v>126</v>
      </c>
      <c r="C244" s="55" t="s">
        <v>6</v>
      </c>
      <c r="D244" s="14" t="s">
        <v>8</v>
      </c>
      <c r="E244" s="59" t="s">
        <v>324</v>
      </c>
    </row>
    <row r="245">
      <c r="A245" s="28">
        <v>55.0</v>
      </c>
      <c r="B245" s="55" t="s">
        <v>126</v>
      </c>
      <c r="C245" s="55" t="s">
        <v>33</v>
      </c>
      <c r="D245" s="7" t="s">
        <v>15</v>
      </c>
      <c r="E245" s="59" t="s">
        <v>325</v>
      </c>
    </row>
    <row r="246">
      <c r="A246" s="28">
        <v>121.0</v>
      </c>
      <c r="B246" s="55" t="s">
        <v>126</v>
      </c>
      <c r="C246" s="55" t="s">
        <v>6</v>
      </c>
      <c r="D246" s="4" t="s">
        <v>326</v>
      </c>
      <c r="E246" s="59" t="s">
        <v>327</v>
      </c>
    </row>
    <row r="247">
      <c r="A247" s="28">
        <v>122.0</v>
      </c>
      <c r="B247" s="55" t="s">
        <v>126</v>
      </c>
      <c r="C247" s="55" t="s">
        <v>6</v>
      </c>
      <c r="D247" s="4" t="s">
        <v>25</v>
      </c>
      <c r="E247" s="59" t="s">
        <v>328</v>
      </c>
    </row>
    <row r="248">
      <c r="A248" s="28">
        <v>56.0</v>
      </c>
      <c r="B248" s="55" t="s">
        <v>126</v>
      </c>
      <c r="C248" s="55" t="s">
        <v>33</v>
      </c>
      <c r="D248" s="60" t="s">
        <v>52</v>
      </c>
      <c r="E248" s="59" t="s">
        <v>329</v>
      </c>
    </row>
    <row r="249">
      <c r="A249" s="28">
        <v>123.0</v>
      </c>
      <c r="B249" s="55" t="s">
        <v>126</v>
      </c>
      <c r="C249" s="55" t="s">
        <v>6</v>
      </c>
      <c r="D249" s="4" t="s">
        <v>330</v>
      </c>
      <c r="E249" s="59" t="s">
        <v>331</v>
      </c>
    </row>
    <row r="250">
      <c r="A250" s="28">
        <v>124.0</v>
      </c>
      <c r="B250" s="55" t="s">
        <v>126</v>
      </c>
      <c r="C250" s="55" t="s">
        <v>6</v>
      </c>
      <c r="D250" s="14" t="s">
        <v>29</v>
      </c>
      <c r="E250" s="59" t="s">
        <v>332</v>
      </c>
    </row>
    <row r="251">
      <c r="A251" s="28">
        <v>125.0</v>
      </c>
      <c r="B251" s="55" t="s">
        <v>126</v>
      </c>
      <c r="C251" s="55" t="s">
        <v>6</v>
      </c>
      <c r="D251" s="14" t="s">
        <v>58</v>
      </c>
      <c r="E251" s="59" t="s">
        <v>333</v>
      </c>
    </row>
    <row r="252">
      <c r="A252" s="28">
        <v>57.0</v>
      </c>
      <c r="B252" s="55" t="s">
        <v>126</v>
      </c>
      <c r="C252" s="55" t="s">
        <v>33</v>
      </c>
      <c r="D252" s="55" t="s">
        <v>117</v>
      </c>
      <c r="E252" s="59" t="s">
        <v>334</v>
      </c>
    </row>
    <row r="253">
      <c r="A253" s="28">
        <v>58.0</v>
      </c>
      <c r="B253" s="55" t="s">
        <v>126</v>
      </c>
      <c r="C253" s="55" t="s">
        <v>33</v>
      </c>
      <c r="D253" s="60" t="s">
        <v>52</v>
      </c>
      <c r="E253" s="59" t="s">
        <v>335</v>
      </c>
    </row>
    <row r="254">
      <c r="A254" s="55">
        <v>8.0</v>
      </c>
      <c r="B254" s="55" t="s">
        <v>126</v>
      </c>
      <c r="C254" s="55" t="s">
        <v>21</v>
      </c>
      <c r="D254" s="7" t="s">
        <v>22</v>
      </c>
      <c r="E254" s="59" t="s">
        <v>336</v>
      </c>
    </row>
    <row r="255">
      <c r="A255" s="28">
        <v>126.0</v>
      </c>
      <c r="B255" s="55" t="s">
        <v>126</v>
      </c>
      <c r="C255" s="55" t="s">
        <v>6</v>
      </c>
      <c r="D255" s="4" t="s">
        <v>337</v>
      </c>
      <c r="E255" s="59" t="s">
        <v>338</v>
      </c>
    </row>
    <row r="256">
      <c r="A256" s="28">
        <v>127.0</v>
      </c>
      <c r="B256" s="55" t="s">
        <v>126</v>
      </c>
      <c r="C256" s="55" t="s">
        <v>6</v>
      </c>
      <c r="D256" s="7" t="s">
        <v>27</v>
      </c>
      <c r="E256" s="59" t="s">
        <v>339</v>
      </c>
    </row>
    <row r="257">
      <c r="A257" s="28">
        <v>128.0</v>
      </c>
      <c r="B257" s="55" t="s">
        <v>126</v>
      </c>
      <c r="C257" s="55" t="s">
        <v>6</v>
      </c>
      <c r="D257" s="14" t="s">
        <v>58</v>
      </c>
      <c r="E257" s="59" t="s">
        <v>340</v>
      </c>
    </row>
    <row r="258">
      <c r="A258" s="55"/>
      <c r="B258" s="55" t="s">
        <v>126</v>
      </c>
      <c r="C258" s="55" t="s">
        <v>45</v>
      </c>
      <c r="D258" s="4" t="s">
        <v>341</v>
      </c>
      <c r="E258" s="59" t="s">
        <v>342</v>
      </c>
    </row>
    <row r="259">
      <c r="A259" s="28">
        <v>129.0</v>
      </c>
      <c r="B259" s="55" t="s">
        <v>126</v>
      </c>
      <c r="C259" s="55" t="s">
        <v>6</v>
      </c>
      <c r="D259" s="4" t="s">
        <v>343</v>
      </c>
      <c r="E259" s="59" t="s">
        <v>344</v>
      </c>
    </row>
    <row r="260">
      <c r="A260" s="28">
        <v>130.0</v>
      </c>
      <c r="B260" s="55" t="s">
        <v>126</v>
      </c>
      <c r="C260" s="55" t="s">
        <v>6</v>
      </c>
      <c r="D260" s="7" t="s">
        <v>30</v>
      </c>
      <c r="E260" s="59" t="s">
        <v>345</v>
      </c>
    </row>
    <row r="261">
      <c r="A261" s="28">
        <v>59.0</v>
      </c>
      <c r="B261" s="55" t="s">
        <v>126</v>
      </c>
      <c r="C261" s="55" t="s">
        <v>33</v>
      </c>
      <c r="D261" s="60" t="s">
        <v>52</v>
      </c>
      <c r="E261" s="59" t="s">
        <v>346</v>
      </c>
    </row>
    <row r="262">
      <c r="A262" s="28">
        <v>31.0</v>
      </c>
      <c r="B262" s="55" t="s">
        <v>126</v>
      </c>
      <c r="C262" s="55" t="s">
        <v>44</v>
      </c>
      <c r="D262" s="7" t="s">
        <v>347</v>
      </c>
      <c r="E262" s="59" t="s">
        <v>348</v>
      </c>
    </row>
    <row r="263">
      <c r="A263" s="28">
        <v>131.0</v>
      </c>
      <c r="B263" s="55" t="s">
        <v>126</v>
      </c>
      <c r="C263" s="55" t="s">
        <v>6</v>
      </c>
      <c r="D263" s="14" t="s">
        <v>8</v>
      </c>
      <c r="E263" s="59" t="s">
        <v>349</v>
      </c>
    </row>
    <row r="264">
      <c r="A264" s="28">
        <v>132.0</v>
      </c>
      <c r="B264" s="55" t="s">
        <v>126</v>
      </c>
      <c r="C264" s="55" t="s">
        <v>6</v>
      </c>
      <c r="D264" s="4" t="s">
        <v>8</v>
      </c>
      <c r="E264" s="59" t="s">
        <v>350</v>
      </c>
    </row>
    <row r="265">
      <c r="A265" s="28">
        <v>133.0</v>
      </c>
      <c r="B265" s="55" t="s">
        <v>126</v>
      </c>
      <c r="C265" s="55" t="s">
        <v>6</v>
      </c>
      <c r="D265" s="4" t="s">
        <v>351</v>
      </c>
      <c r="E265" s="59" t="s">
        <v>352</v>
      </c>
    </row>
    <row r="266">
      <c r="A266" s="28">
        <v>134.0</v>
      </c>
      <c r="B266" s="55" t="s">
        <v>126</v>
      </c>
      <c r="C266" s="55" t="s">
        <v>6</v>
      </c>
      <c r="D266" s="4" t="s">
        <v>353</v>
      </c>
      <c r="E266" s="59" t="s">
        <v>354</v>
      </c>
    </row>
    <row r="267">
      <c r="A267" s="28">
        <v>135.0</v>
      </c>
      <c r="B267" s="55" t="s">
        <v>126</v>
      </c>
      <c r="C267" s="55" t="s">
        <v>6</v>
      </c>
      <c r="D267" s="4" t="s">
        <v>355</v>
      </c>
      <c r="E267" s="59" t="s">
        <v>356</v>
      </c>
    </row>
    <row r="268">
      <c r="A268" s="28">
        <v>136.0</v>
      </c>
      <c r="B268" s="55" t="s">
        <v>126</v>
      </c>
      <c r="C268" s="55" t="s">
        <v>6</v>
      </c>
      <c r="D268" s="4" t="s">
        <v>357</v>
      </c>
      <c r="E268" s="59" t="s">
        <v>358</v>
      </c>
    </row>
    <row r="269">
      <c r="A269" s="28">
        <v>137.0</v>
      </c>
      <c r="B269" s="55" t="s">
        <v>126</v>
      </c>
      <c r="C269" s="55" t="s">
        <v>6</v>
      </c>
      <c r="D269" s="31" t="s">
        <v>10</v>
      </c>
      <c r="E269" s="59" t="s">
        <v>359</v>
      </c>
    </row>
    <row r="270">
      <c r="A270" s="28">
        <v>138.0</v>
      </c>
      <c r="B270" s="55" t="s">
        <v>126</v>
      </c>
      <c r="C270" s="55" t="s">
        <v>6</v>
      </c>
      <c r="D270" s="4" t="s">
        <v>20</v>
      </c>
      <c r="E270" s="59" t="s">
        <v>360</v>
      </c>
    </row>
    <row r="271">
      <c r="A271" s="28">
        <v>32.0</v>
      </c>
      <c r="B271" s="55" t="s">
        <v>126</v>
      </c>
      <c r="C271" s="55" t="s">
        <v>44</v>
      </c>
      <c r="D271" s="15" t="s">
        <v>14</v>
      </c>
      <c r="E271" s="59" t="s">
        <v>361</v>
      </c>
    </row>
    <row r="272">
      <c r="A272" s="28">
        <v>139.0</v>
      </c>
      <c r="B272" s="55" t="s">
        <v>126</v>
      </c>
      <c r="C272" s="55" t="s">
        <v>6</v>
      </c>
      <c r="D272" s="14" t="s">
        <v>58</v>
      </c>
      <c r="E272" s="59" t="s">
        <v>362</v>
      </c>
    </row>
    <row r="273">
      <c r="A273" s="28">
        <v>60.0</v>
      </c>
      <c r="B273" s="55" t="s">
        <v>126</v>
      </c>
      <c r="C273" s="55" t="s">
        <v>33</v>
      </c>
      <c r="D273" s="60" t="s">
        <v>52</v>
      </c>
      <c r="E273" s="59" t="s">
        <v>363</v>
      </c>
    </row>
    <row r="274">
      <c r="A274" s="28">
        <v>61.0</v>
      </c>
      <c r="B274" s="55" t="s">
        <v>126</v>
      </c>
      <c r="C274" s="55" t="s">
        <v>33</v>
      </c>
      <c r="D274" s="14" t="s">
        <v>33</v>
      </c>
      <c r="E274" s="59" t="s">
        <v>364</v>
      </c>
    </row>
    <row r="275">
      <c r="A275" s="28">
        <v>62.0</v>
      </c>
      <c r="B275" s="55" t="s">
        <v>126</v>
      </c>
      <c r="C275" s="55" t="s">
        <v>33</v>
      </c>
      <c r="D275" s="55" t="s">
        <v>117</v>
      </c>
      <c r="E275" s="59" t="s">
        <v>365</v>
      </c>
    </row>
    <row r="276">
      <c r="A276" s="28">
        <v>140.0</v>
      </c>
      <c r="B276" s="55" t="s">
        <v>126</v>
      </c>
      <c r="C276" s="55" t="s">
        <v>6</v>
      </c>
      <c r="D276" s="7" t="s">
        <v>20</v>
      </c>
      <c r="E276" s="59" t="s">
        <v>366</v>
      </c>
    </row>
    <row r="277">
      <c r="A277" s="28">
        <v>63.0</v>
      </c>
      <c r="B277" s="55" t="s">
        <v>126</v>
      </c>
      <c r="C277" s="55" t="s">
        <v>33</v>
      </c>
      <c r="D277" s="55" t="s">
        <v>117</v>
      </c>
      <c r="E277" s="59" t="s">
        <v>367</v>
      </c>
    </row>
    <row r="278">
      <c r="A278" s="28">
        <v>64.0</v>
      </c>
      <c r="B278" s="55" t="s">
        <v>126</v>
      </c>
      <c r="C278" s="55" t="s">
        <v>33</v>
      </c>
      <c r="D278" s="7" t="s">
        <v>37</v>
      </c>
      <c r="E278" s="59" t="s">
        <v>368</v>
      </c>
    </row>
    <row r="279">
      <c r="A279" s="28">
        <v>65.0</v>
      </c>
      <c r="B279" s="55" t="s">
        <v>126</v>
      </c>
      <c r="C279" s="55" t="s">
        <v>33</v>
      </c>
      <c r="D279" s="60" t="s">
        <v>52</v>
      </c>
      <c r="E279" s="59" t="s">
        <v>116</v>
      </c>
    </row>
    <row r="280">
      <c r="A280" s="28">
        <v>66.0</v>
      </c>
      <c r="B280" s="55" t="s">
        <v>126</v>
      </c>
      <c r="C280" s="55" t="s">
        <v>33</v>
      </c>
      <c r="D280" s="4" t="s">
        <v>25</v>
      </c>
      <c r="E280" s="59" t="s">
        <v>369</v>
      </c>
    </row>
    <row r="281">
      <c r="A281" s="28">
        <v>141.0</v>
      </c>
      <c r="B281" s="55" t="s">
        <v>126</v>
      </c>
      <c r="C281" s="55" t="s">
        <v>6</v>
      </c>
      <c r="D281" s="14" t="s">
        <v>10</v>
      </c>
      <c r="E281" s="59" t="s">
        <v>370</v>
      </c>
    </row>
    <row r="282">
      <c r="A282" s="28">
        <v>142.0</v>
      </c>
      <c r="B282" s="55" t="s">
        <v>126</v>
      </c>
      <c r="C282" s="55" t="s">
        <v>6</v>
      </c>
      <c r="D282" s="7" t="s">
        <v>371</v>
      </c>
      <c r="E282" s="59" t="s">
        <v>372</v>
      </c>
    </row>
    <row r="283">
      <c r="A283" s="28">
        <v>12.0</v>
      </c>
      <c r="B283" s="55" t="s">
        <v>126</v>
      </c>
      <c r="C283" s="55" t="s">
        <v>84</v>
      </c>
      <c r="D283" s="4" t="s">
        <v>35</v>
      </c>
      <c r="E283" s="59" t="s">
        <v>373</v>
      </c>
    </row>
    <row r="284">
      <c r="A284" s="28">
        <v>13.0</v>
      </c>
      <c r="B284" s="55" t="s">
        <v>126</v>
      </c>
      <c r="C284" s="55" t="s">
        <v>84</v>
      </c>
      <c r="D284" s="55" t="s">
        <v>84</v>
      </c>
      <c r="E284" s="59" t="s">
        <v>374</v>
      </c>
    </row>
    <row r="285">
      <c r="A285" s="55"/>
      <c r="B285" s="55" t="s">
        <v>126</v>
      </c>
      <c r="C285" s="55" t="s">
        <v>16</v>
      </c>
      <c r="D285" s="14" t="s">
        <v>174</v>
      </c>
      <c r="E285" s="59" t="s">
        <v>375</v>
      </c>
    </row>
    <row r="286">
      <c r="A286" s="28">
        <v>143.0</v>
      </c>
      <c r="B286" s="55" t="s">
        <v>126</v>
      </c>
      <c r="C286" s="55" t="s">
        <v>6</v>
      </c>
      <c r="D286" s="4" t="s">
        <v>12</v>
      </c>
      <c r="E286" s="59" t="s">
        <v>376</v>
      </c>
    </row>
    <row r="287">
      <c r="A287" s="28">
        <v>144.0</v>
      </c>
      <c r="B287" s="55" t="s">
        <v>126</v>
      </c>
      <c r="C287" s="55" t="s">
        <v>6</v>
      </c>
      <c r="D287" s="14" t="s">
        <v>11</v>
      </c>
      <c r="E287" s="59" t="s">
        <v>377</v>
      </c>
    </row>
    <row r="288">
      <c r="A288" s="28">
        <v>33.0</v>
      </c>
      <c r="B288" s="55" t="s">
        <v>126</v>
      </c>
      <c r="C288" s="55" t="s">
        <v>44</v>
      </c>
      <c r="D288" s="15" t="s">
        <v>14</v>
      </c>
      <c r="E288" s="59" t="s">
        <v>378</v>
      </c>
    </row>
    <row r="289">
      <c r="A289" s="28">
        <v>14.0</v>
      </c>
      <c r="B289" s="55" t="s">
        <v>126</v>
      </c>
      <c r="C289" s="55" t="s">
        <v>84</v>
      </c>
      <c r="D289" s="4" t="s">
        <v>35</v>
      </c>
      <c r="E289" s="59" t="s">
        <v>379</v>
      </c>
    </row>
    <row r="290">
      <c r="A290" s="28">
        <v>145.0</v>
      </c>
      <c r="B290" s="55" t="s">
        <v>126</v>
      </c>
      <c r="C290" s="55" t="s">
        <v>6</v>
      </c>
      <c r="D290" s="31" t="s">
        <v>69</v>
      </c>
      <c r="E290" s="59" t="s">
        <v>380</v>
      </c>
    </row>
    <row r="291">
      <c r="A291" s="28">
        <v>7.0</v>
      </c>
      <c r="B291" s="55" t="s">
        <v>126</v>
      </c>
      <c r="C291" s="55" t="s">
        <v>102</v>
      </c>
      <c r="D291" s="31" t="s">
        <v>38</v>
      </c>
      <c r="E291" s="59" t="s">
        <v>381</v>
      </c>
    </row>
    <row r="292">
      <c r="A292" s="28">
        <v>146.0</v>
      </c>
      <c r="B292" s="55" t="s">
        <v>126</v>
      </c>
      <c r="C292" s="55" t="s">
        <v>6</v>
      </c>
      <c r="D292" s="14" t="s">
        <v>18</v>
      </c>
      <c r="E292" s="59" t="s">
        <v>382</v>
      </c>
    </row>
    <row r="293">
      <c r="A293" s="28">
        <v>147.0</v>
      </c>
      <c r="B293" s="55" t="s">
        <v>126</v>
      </c>
      <c r="C293" s="55" t="s">
        <v>6</v>
      </c>
      <c r="D293" s="14" t="s">
        <v>58</v>
      </c>
      <c r="E293" s="59" t="s">
        <v>383</v>
      </c>
    </row>
    <row r="294">
      <c r="A294" s="28">
        <v>8.0</v>
      </c>
      <c r="B294" s="55" t="s">
        <v>126</v>
      </c>
      <c r="C294" s="55" t="s">
        <v>102</v>
      </c>
      <c r="D294" s="31" t="s">
        <v>38</v>
      </c>
      <c r="E294" s="59" t="s">
        <v>384</v>
      </c>
    </row>
    <row r="295">
      <c r="A295" s="28">
        <v>67.0</v>
      </c>
      <c r="B295" s="55" t="s">
        <v>126</v>
      </c>
      <c r="C295" s="55" t="s">
        <v>33</v>
      </c>
      <c r="D295" s="55" t="s">
        <v>385</v>
      </c>
      <c r="E295" s="59" t="s">
        <v>386</v>
      </c>
    </row>
    <row r="296">
      <c r="A296" s="28">
        <v>148.0</v>
      </c>
      <c r="B296" s="55" t="s">
        <v>126</v>
      </c>
      <c r="C296" s="55" t="s">
        <v>6</v>
      </c>
      <c r="D296" s="14" t="s">
        <v>11</v>
      </c>
      <c r="E296" s="59" t="s">
        <v>387</v>
      </c>
    </row>
    <row r="297">
      <c r="A297" s="28">
        <v>68.0</v>
      </c>
      <c r="B297" s="55" t="s">
        <v>126</v>
      </c>
      <c r="C297" s="55" t="s">
        <v>33</v>
      </c>
      <c r="D297" s="14" t="s">
        <v>33</v>
      </c>
      <c r="E297" s="59" t="s">
        <v>388</v>
      </c>
    </row>
    <row r="298">
      <c r="A298" s="28">
        <v>149.0</v>
      </c>
      <c r="B298" s="55" t="s">
        <v>126</v>
      </c>
      <c r="C298" s="55" t="s">
        <v>6</v>
      </c>
      <c r="D298" s="14" t="s">
        <v>11</v>
      </c>
      <c r="E298" s="59" t="s">
        <v>389</v>
      </c>
    </row>
    <row r="299">
      <c r="A299" s="55">
        <v>9.0</v>
      </c>
      <c r="B299" s="55" t="s">
        <v>126</v>
      </c>
      <c r="C299" s="55" t="s">
        <v>21</v>
      </c>
      <c r="D299" s="7" t="s">
        <v>22</v>
      </c>
      <c r="E299" s="59" t="s">
        <v>390</v>
      </c>
    </row>
    <row r="300">
      <c r="A300" s="28">
        <v>150.0</v>
      </c>
      <c r="B300" s="55" t="s">
        <v>126</v>
      </c>
      <c r="C300" s="55" t="s">
        <v>6</v>
      </c>
      <c r="D300" s="4" t="s">
        <v>8</v>
      </c>
      <c r="E300" s="59" t="s">
        <v>391</v>
      </c>
    </row>
    <row r="301">
      <c r="A301" s="55">
        <v>10.0</v>
      </c>
      <c r="B301" s="55" t="s">
        <v>126</v>
      </c>
      <c r="C301" s="55" t="s">
        <v>21</v>
      </c>
      <c r="D301" s="7" t="s">
        <v>22</v>
      </c>
      <c r="E301" s="59" t="s">
        <v>392</v>
      </c>
    </row>
    <row r="302">
      <c r="A302" s="28">
        <v>151.0</v>
      </c>
      <c r="B302" s="55" t="s">
        <v>126</v>
      </c>
      <c r="C302" s="55" t="s">
        <v>6</v>
      </c>
      <c r="D302" s="55" t="s">
        <v>393</v>
      </c>
      <c r="E302" s="59" t="s">
        <v>394</v>
      </c>
    </row>
    <row r="303">
      <c r="A303" s="28">
        <v>152.0</v>
      </c>
      <c r="B303" s="55" t="s">
        <v>126</v>
      </c>
      <c r="C303" s="55" t="s">
        <v>6</v>
      </c>
      <c r="D303" s="14" t="s">
        <v>58</v>
      </c>
      <c r="E303" s="59" t="s">
        <v>395</v>
      </c>
    </row>
    <row r="304">
      <c r="A304" s="28">
        <v>69.0</v>
      </c>
      <c r="B304" s="55" t="s">
        <v>126</v>
      </c>
      <c r="C304" s="55" t="s">
        <v>33</v>
      </c>
      <c r="D304" s="55" t="s">
        <v>117</v>
      </c>
      <c r="E304" s="59" t="s">
        <v>396</v>
      </c>
    </row>
    <row r="305">
      <c r="A305" s="28">
        <v>70.0</v>
      </c>
      <c r="B305" s="55" t="s">
        <v>126</v>
      </c>
      <c r="C305" s="55" t="s">
        <v>33</v>
      </c>
      <c r="D305" s="60" t="s">
        <v>52</v>
      </c>
      <c r="E305" s="59" t="s">
        <v>397</v>
      </c>
    </row>
    <row r="306">
      <c r="A306" s="28">
        <v>153.0</v>
      </c>
      <c r="B306" s="55" t="s">
        <v>126</v>
      </c>
      <c r="C306" s="55" t="s">
        <v>6</v>
      </c>
      <c r="D306" s="14" t="s">
        <v>11</v>
      </c>
      <c r="E306" s="59" t="s">
        <v>398</v>
      </c>
    </row>
    <row r="307">
      <c r="A307" s="28">
        <v>154.0</v>
      </c>
      <c r="B307" s="55" t="s">
        <v>126</v>
      </c>
      <c r="C307" s="55" t="s">
        <v>6</v>
      </c>
      <c r="D307" s="4" t="s">
        <v>12</v>
      </c>
      <c r="E307" s="59" t="s">
        <v>399</v>
      </c>
    </row>
    <row r="308">
      <c r="A308" s="28">
        <v>9.0</v>
      </c>
      <c r="B308" s="55" t="s">
        <v>126</v>
      </c>
      <c r="C308" s="55" t="s">
        <v>102</v>
      </c>
      <c r="D308" s="55" t="s">
        <v>117</v>
      </c>
      <c r="E308" s="59" t="s">
        <v>400</v>
      </c>
    </row>
    <row r="309">
      <c r="A309" s="28">
        <v>155.0</v>
      </c>
      <c r="B309" s="55" t="s">
        <v>126</v>
      </c>
      <c r="C309" s="55" t="s">
        <v>6</v>
      </c>
      <c r="D309" s="4" t="s">
        <v>401</v>
      </c>
      <c r="E309" s="59" t="s">
        <v>402</v>
      </c>
    </row>
    <row r="310">
      <c r="A310" s="28">
        <v>156.0</v>
      </c>
      <c r="B310" s="55" t="s">
        <v>126</v>
      </c>
      <c r="C310" s="55" t="s">
        <v>6</v>
      </c>
      <c r="D310" s="4" t="s">
        <v>12</v>
      </c>
      <c r="E310" s="59" t="s">
        <v>403</v>
      </c>
    </row>
    <row r="311">
      <c r="A311" s="55">
        <v>11.0</v>
      </c>
      <c r="B311" s="55" t="s">
        <v>126</v>
      </c>
      <c r="C311" s="55" t="s">
        <v>21</v>
      </c>
      <c r="D311" s="7" t="s">
        <v>22</v>
      </c>
      <c r="E311" s="59" t="s">
        <v>404</v>
      </c>
    </row>
    <row r="312">
      <c r="A312" s="55">
        <v>12.0</v>
      </c>
      <c r="B312" s="55" t="s">
        <v>126</v>
      </c>
      <c r="C312" s="55" t="s">
        <v>21</v>
      </c>
      <c r="D312" s="14" t="s">
        <v>11</v>
      </c>
      <c r="E312" s="59" t="s">
        <v>405</v>
      </c>
    </row>
    <row r="313">
      <c r="A313" s="55">
        <v>13.0</v>
      </c>
      <c r="B313" s="55" t="s">
        <v>126</v>
      </c>
      <c r="C313" s="55" t="s">
        <v>21</v>
      </c>
      <c r="D313" s="4" t="s">
        <v>24</v>
      </c>
      <c r="E313" s="59" t="s">
        <v>406</v>
      </c>
    </row>
    <row r="314">
      <c r="A314" s="28">
        <v>157.0</v>
      </c>
      <c r="B314" s="55" t="s">
        <v>126</v>
      </c>
      <c r="C314" s="55" t="s">
        <v>6</v>
      </c>
      <c r="D314" s="4" t="s">
        <v>407</v>
      </c>
      <c r="E314" s="59" t="s">
        <v>408</v>
      </c>
    </row>
    <row r="315">
      <c r="A315" s="28">
        <v>71.0</v>
      </c>
      <c r="B315" s="55" t="s">
        <v>126</v>
      </c>
      <c r="C315" s="55" t="s">
        <v>33</v>
      </c>
      <c r="D315" s="7" t="s">
        <v>15</v>
      </c>
      <c r="E315" s="59" t="s">
        <v>409</v>
      </c>
    </row>
    <row r="316">
      <c r="A316" s="28">
        <v>72.0</v>
      </c>
      <c r="B316" s="55" t="s">
        <v>126</v>
      </c>
      <c r="C316" s="55" t="s">
        <v>33</v>
      </c>
      <c r="D316" s="60" t="s">
        <v>52</v>
      </c>
      <c r="E316" s="59" t="s">
        <v>410</v>
      </c>
    </row>
    <row r="317">
      <c r="A317" s="55">
        <v>14.0</v>
      </c>
      <c r="B317" s="55" t="s">
        <v>126</v>
      </c>
      <c r="C317" s="55" t="s">
        <v>21</v>
      </c>
      <c r="D317" s="14" t="s">
        <v>11</v>
      </c>
      <c r="E317" s="59" t="s">
        <v>411</v>
      </c>
    </row>
    <row r="318">
      <c r="A318" s="28">
        <v>73.0</v>
      </c>
      <c r="B318" s="55" t="s">
        <v>126</v>
      </c>
      <c r="C318" s="55" t="s">
        <v>33</v>
      </c>
      <c r="D318" s="7" t="s">
        <v>15</v>
      </c>
      <c r="E318" s="59" t="s">
        <v>412</v>
      </c>
    </row>
    <row r="319">
      <c r="A319" s="28">
        <v>158.0</v>
      </c>
      <c r="B319" s="55" t="s">
        <v>126</v>
      </c>
      <c r="C319" s="55" t="s">
        <v>6</v>
      </c>
      <c r="D319" s="4" t="s">
        <v>12</v>
      </c>
      <c r="E319" s="59" t="s">
        <v>413</v>
      </c>
    </row>
    <row r="320">
      <c r="A320" s="28">
        <v>159.0</v>
      </c>
      <c r="B320" s="55" t="s">
        <v>126</v>
      </c>
      <c r="C320" s="55" t="s">
        <v>6</v>
      </c>
      <c r="D320" s="14" t="s">
        <v>10</v>
      </c>
      <c r="E320" s="59" t="s">
        <v>414</v>
      </c>
    </row>
    <row r="321">
      <c r="A321" s="28">
        <v>160.0</v>
      </c>
      <c r="B321" s="55" t="s">
        <v>126</v>
      </c>
      <c r="C321" s="55" t="s">
        <v>6</v>
      </c>
      <c r="D321" s="55" t="s">
        <v>25</v>
      </c>
      <c r="E321" s="59" t="s">
        <v>415</v>
      </c>
    </row>
    <row r="322">
      <c r="A322" s="28">
        <v>161.0</v>
      </c>
      <c r="B322" s="55" t="s">
        <v>126</v>
      </c>
      <c r="C322" s="55" t="s">
        <v>6</v>
      </c>
      <c r="D322" s="4" t="s">
        <v>416</v>
      </c>
      <c r="E322" s="59" t="s">
        <v>417</v>
      </c>
    </row>
    <row r="323">
      <c r="A323" s="28">
        <v>34.0</v>
      </c>
      <c r="B323" s="55" t="s">
        <v>126</v>
      </c>
      <c r="C323" s="55" t="s">
        <v>44</v>
      </c>
      <c r="D323" s="31" t="s">
        <v>10</v>
      </c>
      <c r="E323" s="59" t="s">
        <v>289</v>
      </c>
    </row>
    <row r="324">
      <c r="A324" s="28">
        <v>162.0</v>
      </c>
      <c r="B324" s="55" t="s">
        <v>126</v>
      </c>
      <c r="C324" s="55" t="s">
        <v>6</v>
      </c>
      <c r="D324" s="14" t="s">
        <v>58</v>
      </c>
      <c r="E324" s="59" t="s">
        <v>418</v>
      </c>
    </row>
    <row r="325">
      <c r="A325" s="28">
        <v>163.0</v>
      </c>
      <c r="B325" s="55" t="s">
        <v>126</v>
      </c>
      <c r="C325" s="55" t="s">
        <v>6</v>
      </c>
      <c r="D325" s="14" t="s">
        <v>11</v>
      </c>
      <c r="E325" s="59" t="s">
        <v>419</v>
      </c>
    </row>
    <row r="326">
      <c r="A326" s="28">
        <v>164.0</v>
      </c>
      <c r="B326" s="55" t="s">
        <v>126</v>
      </c>
      <c r="C326" s="55" t="s">
        <v>6</v>
      </c>
      <c r="D326" s="4" t="s">
        <v>12</v>
      </c>
      <c r="E326" s="59" t="s">
        <v>420</v>
      </c>
    </row>
    <row r="327">
      <c r="A327" s="28">
        <v>10.0</v>
      </c>
      <c r="B327" s="55" t="s">
        <v>126</v>
      </c>
      <c r="C327" s="55" t="s">
        <v>102</v>
      </c>
      <c r="D327" s="31" t="s">
        <v>38</v>
      </c>
      <c r="E327" s="59" t="s">
        <v>421</v>
      </c>
    </row>
    <row r="328">
      <c r="A328" s="28">
        <v>74.0</v>
      </c>
      <c r="B328" s="55" t="s">
        <v>126</v>
      </c>
      <c r="C328" s="55" t="s">
        <v>33</v>
      </c>
      <c r="D328" s="60" t="s">
        <v>52</v>
      </c>
      <c r="E328" s="59" t="s">
        <v>422</v>
      </c>
    </row>
    <row r="329">
      <c r="A329" s="28">
        <v>75.0</v>
      </c>
      <c r="B329" s="55" t="s">
        <v>126</v>
      </c>
      <c r="C329" s="55" t="s">
        <v>33</v>
      </c>
      <c r="D329" s="55" t="s">
        <v>117</v>
      </c>
      <c r="E329" s="59" t="s">
        <v>423</v>
      </c>
    </row>
    <row r="330">
      <c r="A330" s="28">
        <v>35.0</v>
      </c>
      <c r="B330" s="55" t="s">
        <v>126</v>
      </c>
      <c r="C330" s="55" t="s">
        <v>44</v>
      </c>
      <c r="D330" s="15" t="s">
        <v>14</v>
      </c>
      <c r="E330" s="59" t="s">
        <v>424</v>
      </c>
    </row>
    <row r="331">
      <c r="A331" s="28">
        <v>76.0</v>
      </c>
      <c r="B331" s="55" t="s">
        <v>126</v>
      </c>
      <c r="C331" s="55" t="s">
        <v>33</v>
      </c>
      <c r="D331" s="60" t="s">
        <v>52</v>
      </c>
      <c r="E331" s="59" t="s">
        <v>425</v>
      </c>
    </row>
    <row r="332">
      <c r="A332" s="28">
        <v>36.0</v>
      </c>
      <c r="B332" s="55" t="s">
        <v>126</v>
      </c>
      <c r="C332" s="55" t="s">
        <v>44</v>
      </c>
      <c r="D332" s="15" t="s">
        <v>14</v>
      </c>
      <c r="E332" s="59" t="s">
        <v>426</v>
      </c>
    </row>
    <row r="333">
      <c r="A333" s="28">
        <v>165.0</v>
      </c>
      <c r="B333" s="55" t="s">
        <v>126</v>
      </c>
      <c r="C333" s="55" t="s">
        <v>6</v>
      </c>
      <c r="D333" s="4" t="s">
        <v>427</v>
      </c>
      <c r="E333" s="59" t="s">
        <v>428</v>
      </c>
    </row>
    <row r="334">
      <c r="A334" s="55"/>
      <c r="B334" s="55" t="s">
        <v>126</v>
      </c>
      <c r="C334" s="55" t="s">
        <v>16</v>
      </c>
      <c r="D334" s="14" t="s">
        <v>174</v>
      </c>
      <c r="E334" s="59" t="s">
        <v>429</v>
      </c>
    </row>
    <row r="335">
      <c r="A335" s="28">
        <v>77.0</v>
      </c>
      <c r="B335" s="55" t="s">
        <v>126</v>
      </c>
      <c r="C335" s="55" t="s">
        <v>33</v>
      </c>
      <c r="D335" s="55" t="s">
        <v>117</v>
      </c>
      <c r="E335" s="59" t="s">
        <v>430</v>
      </c>
    </row>
    <row r="336">
      <c r="A336" s="28">
        <v>8.0</v>
      </c>
      <c r="B336" s="55" t="s">
        <v>126</v>
      </c>
      <c r="C336" s="55" t="s">
        <v>23</v>
      </c>
      <c r="D336" s="60" t="s">
        <v>166</v>
      </c>
      <c r="E336" s="59" t="s">
        <v>431</v>
      </c>
    </row>
    <row r="337">
      <c r="A337" s="28">
        <v>166.0</v>
      </c>
      <c r="B337" s="55" t="s">
        <v>126</v>
      </c>
      <c r="C337" s="55" t="s">
        <v>6</v>
      </c>
      <c r="D337" s="4" t="s">
        <v>12</v>
      </c>
      <c r="E337" s="59" t="s">
        <v>432</v>
      </c>
    </row>
    <row r="338">
      <c r="A338" s="28">
        <v>167.0</v>
      </c>
      <c r="B338" s="55" t="s">
        <v>126</v>
      </c>
      <c r="C338" s="55" t="s">
        <v>6</v>
      </c>
      <c r="D338" s="7" t="s">
        <v>20</v>
      </c>
      <c r="E338" s="59" t="s">
        <v>433</v>
      </c>
    </row>
    <row r="339">
      <c r="A339" s="28">
        <v>168.0</v>
      </c>
      <c r="B339" s="55" t="s">
        <v>126</v>
      </c>
      <c r="C339" s="55" t="s">
        <v>6</v>
      </c>
      <c r="D339" s="7" t="s">
        <v>20</v>
      </c>
      <c r="E339" s="59" t="s">
        <v>434</v>
      </c>
    </row>
    <row r="340">
      <c r="A340" s="28">
        <v>37.0</v>
      </c>
      <c r="B340" s="55" t="s">
        <v>126</v>
      </c>
      <c r="C340" s="55" t="s">
        <v>44</v>
      </c>
      <c r="D340" s="14" t="s">
        <v>10</v>
      </c>
      <c r="E340" s="59" t="s">
        <v>435</v>
      </c>
    </row>
    <row r="341">
      <c r="A341" s="28">
        <v>169.0</v>
      </c>
      <c r="B341" s="55" t="s">
        <v>126</v>
      </c>
      <c r="C341" s="55" t="s">
        <v>6</v>
      </c>
      <c r="D341" s="14" t="s">
        <v>58</v>
      </c>
      <c r="E341" s="59" t="s">
        <v>436</v>
      </c>
    </row>
    <row r="342">
      <c r="A342" s="55">
        <v>15.0</v>
      </c>
      <c r="B342" s="55" t="s">
        <v>126</v>
      </c>
      <c r="C342" s="55" t="s">
        <v>21</v>
      </c>
      <c r="D342" s="14" t="s">
        <v>11</v>
      </c>
      <c r="E342" s="59" t="s">
        <v>437</v>
      </c>
    </row>
    <row r="343">
      <c r="A343" s="55">
        <v>16.0</v>
      </c>
      <c r="B343" s="55" t="s">
        <v>126</v>
      </c>
      <c r="C343" s="55" t="s">
        <v>21</v>
      </c>
      <c r="D343" s="14" t="s">
        <v>11</v>
      </c>
      <c r="E343" s="59" t="s">
        <v>438</v>
      </c>
    </row>
    <row r="344">
      <c r="A344" s="28">
        <v>170.0</v>
      </c>
      <c r="B344" s="55" t="s">
        <v>126</v>
      </c>
      <c r="C344" s="55" t="s">
        <v>6</v>
      </c>
      <c r="D344" s="4" t="s">
        <v>26</v>
      </c>
      <c r="E344" s="59" t="s">
        <v>439</v>
      </c>
    </row>
    <row r="345">
      <c r="E345" s="65"/>
    </row>
    <row r="346">
      <c r="E346" s="65"/>
    </row>
    <row r="347">
      <c r="E347" s="65"/>
    </row>
    <row r="348">
      <c r="E348" s="65"/>
    </row>
    <row r="349">
      <c r="E349" s="65"/>
    </row>
    <row r="350">
      <c r="E350" s="65"/>
    </row>
    <row r="351">
      <c r="E351" s="65"/>
    </row>
    <row r="352">
      <c r="E352" s="65"/>
    </row>
    <row r="353">
      <c r="E353" s="65"/>
    </row>
    <row r="354">
      <c r="E354" s="65"/>
    </row>
    <row r="355">
      <c r="E355" s="65"/>
    </row>
    <row r="356">
      <c r="E356" s="65"/>
    </row>
    <row r="357">
      <c r="E357" s="65"/>
    </row>
    <row r="358">
      <c r="E358" s="65"/>
    </row>
    <row r="359">
      <c r="E359" s="65"/>
    </row>
    <row r="360">
      <c r="E360" s="65"/>
    </row>
    <row r="361">
      <c r="E361" s="65"/>
    </row>
    <row r="362">
      <c r="E362" s="65"/>
    </row>
    <row r="363">
      <c r="E363" s="65"/>
    </row>
    <row r="364">
      <c r="E364" s="65"/>
    </row>
    <row r="365">
      <c r="E365" s="65"/>
    </row>
    <row r="366">
      <c r="E366" s="65"/>
    </row>
    <row r="367">
      <c r="E367" s="65"/>
    </row>
    <row r="368">
      <c r="E368" s="65"/>
    </row>
    <row r="369">
      <c r="E369" s="65"/>
    </row>
    <row r="370">
      <c r="E370" s="65"/>
    </row>
    <row r="371">
      <c r="E371" s="65"/>
    </row>
    <row r="372">
      <c r="E372" s="65"/>
    </row>
    <row r="373">
      <c r="E373" s="65"/>
    </row>
    <row r="374">
      <c r="E374" s="65"/>
    </row>
    <row r="375">
      <c r="E375" s="65"/>
    </row>
    <row r="376">
      <c r="E376" s="65"/>
    </row>
    <row r="377">
      <c r="E377" s="65"/>
    </row>
    <row r="378">
      <c r="E378" s="65"/>
    </row>
    <row r="379">
      <c r="E379" s="65"/>
    </row>
    <row r="380">
      <c r="E380" s="65"/>
    </row>
    <row r="381">
      <c r="E381" s="65"/>
    </row>
    <row r="382">
      <c r="E382" s="65"/>
    </row>
    <row r="383">
      <c r="E383" s="65"/>
    </row>
    <row r="384">
      <c r="E384" s="65"/>
    </row>
    <row r="385">
      <c r="E385" s="65"/>
    </row>
    <row r="386">
      <c r="E386" s="65"/>
    </row>
    <row r="387">
      <c r="E387" s="65"/>
    </row>
    <row r="388">
      <c r="E388" s="65"/>
    </row>
    <row r="389">
      <c r="E389" s="65"/>
    </row>
    <row r="390">
      <c r="E390" s="65"/>
    </row>
    <row r="391">
      <c r="E391" s="65"/>
    </row>
    <row r="392">
      <c r="E392" s="65"/>
    </row>
    <row r="393">
      <c r="E393" s="65"/>
    </row>
    <row r="394">
      <c r="E394" s="65"/>
    </row>
    <row r="395">
      <c r="E395" s="65"/>
    </row>
    <row r="396">
      <c r="E396" s="65"/>
    </row>
    <row r="397">
      <c r="E397" s="65"/>
    </row>
    <row r="398">
      <c r="E398" s="65"/>
    </row>
    <row r="399">
      <c r="E399" s="65"/>
    </row>
    <row r="400">
      <c r="E400" s="65"/>
    </row>
    <row r="401">
      <c r="E401" s="65"/>
    </row>
    <row r="402">
      <c r="E402" s="65"/>
    </row>
    <row r="403">
      <c r="E403" s="65"/>
    </row>
    <row r="404">
      <c r="E404" s="65"/>
    </row>
    <row r="405">
      <c r="E405" s="65"/>
    </row>
    <row r="406">
      <c r="E406" s="65"/>
    </row>
    <row r="407">
      <c r="E407" s="65"/>
    </row>
    <row r="408">
      <c r="E408" s="65"/>
    </row>
    <row r="409">
      <c r="E409" s="65"/>
    </row>
    <row r="410">
      <c r="E410" s="65"/>
    </row>
    <row r="411">
      <c r="E411" s="65"/>
    </row>
    <row r="412">
      <c r="E412" s="65"/>
    </row>
    <row r="413">
      <c r="E413" s="65"/>
    </row>
    <row r="414">
      <c r="E414" s="65"/>
    </row>
    <row r="415">
      <c r="E415" s="65"/>
    </row>
    <row r="416">
      <c r="E416" s="65"/>
    </row>
    <row r="417">
      <c r="E417" s="65"/>
    </row>
    <row r="418">
      <c r="E418" s="65"/>
    </row>
    <row r="419">
      <c r="E419" s="65"/>
    </row>
    <row r="420">
      <c r="E420" s="65"/>
    </row>
    <row r="421">
      <c r="E421" s="65"/>
    </row>
    <row r="422">
      <c r="E422" s="65"/>
    </row>
    <row r="423">
      <c r="E423" s="65"/>
    </row>
    <row r="424">
      <c r="E424" s="65"/>
    </row>
    <row r="425">
      <c r="E425" s="65"/>
    </row>
    <row r="426">
      <c r="E426" s="65"/>
    </row>
    <row r="427">
      <c r="E427" s="65"/>
    </row>
    <row r="428">
      <c r="E428" s="65"/>
    </row>
    <row r="429">
      <c r="E429" s="65"/>
    </row>
    <row r="430">
      <c r="E430" s="65"/>
    </row>
    <row r="431">
      <c r="E431" s="65"/>
    </row>
    <row r="432">
      <c r="E432" s="65"/>
    </row>
    <row r="433">
      <c r="E433" s="65"/>
    </row>
    <row r="434">
      <c r="E434" s="65"/>
    </row>
    <row r="435">
      <c r="E435" s="65"/>
    </row>
    <row r="436">
      <c r="E436" s="65"/>
    </row>
    <row r="437">
      <c r="E437" s="65"/>
    </row>
    <row r="438">
      <c r="E438" s="65"/>
    </row>
    <row r="439">
      <c r="E439" s="65"/>
    </row>
    <row r="440">
      <c r="E440" s="65"/>
    </row>
    <row r="441">
      <c r="E441" s="65"/>
    </row>
    <row r="442">
      <c r="E442" s="65"/>
    </row>
    <row r="443">
      <c r="E443" s="65"/>
    </row>
    <row r="444">
      <c r="E444" s="65"/>
    </row>
    <row r="445">
      <c r="E445" s="65"/>
    </row>
    <row r="446">
      <c r="E446" s="65"/>
    </row>
    <row r="447">
      <c r="E447" s="65"/>
    </row>
    <row r="448">
      <c r="E448" s="65"/>
    </row>
    <row r="449">
      <c r="E449" s="65"/>
    </row>
    <row r="450">
      <c r="E450" s="65"/>
    </row>
    <row r="451">
      <c r="E451" s="65"/>
    </row>
    <row r="452">
      <c r="E452" s="65"/>
    </row>
    <row r="453">
      <c r="E453" s="65"/>
    </row>
    <row r="454">
      <c r="E454" s="65"/>
    </row>
    <row r="455">
      <c r="E455" s="65"/>
    </row>
    <row r="456">
      <c r="E456" s="65"/>
    </row>
    <row r="457">
      <c r="E457" s="65"/>
    </row>
    <row r="458">
      <c r="E458" s="65"/>
    </row>
    <row r="459">
      <c r="E459" s="65"/>
    </row>
    <row r="460">
      <c r="E460" s="65"/>
    </row>
    <row r="461">
      <c r="E461" s="65"/>
    </row>
    <row r="462">
      <c r="E462" s="65"/>
    </row>
    <row r="463">
      <c r="E463" s="65"/>
    </row>
    <row r="464">
      <c r="E464" s="65"/>
    </row>
    <row r="465">
      <c r="E465" s="65"/>
    </row>
    <row r="466">
      <c r="E466" s="65"/>
    </row>
    <row r="467">
      <c r="E467" s="65"/>
    </row>
    <row r="468">
      <c r="E468" s="65"/>
    </row>
    <row r="469">
      <c r="E469" s="65"/>
    </row>
    <row r="470">
      <c r="E470" s="65"/>
    </row>
    <row r="471">
      <c r="E471" s="65"/>
    </row>
    <row r="472">
      <c r="E472" s="65"/>
    </row>
    <row r="473">
      <c r="E473" s="65"/>
    </row>
    <row r="474">
      <c r="E474" s="65"/>
    </row>
    <row r="475">
      <c r="E475" s="65"/>
    </row>
    <row r="476">
      <c r="E476" s="65"/>
    </row>
    <row r="477">
      <c r="E477" s="65"/>
    </row>
    <row r="478">
      <c r="E478" s="65"/>
    </row>
    <row r="479">
      <c r="E479" s="65"/>
    </row>
    <row r="480">
      <c r="E480" s="65"/>
    </row>
    <row r="481">
      <c r="E481" s="65"/>
    </row>
    <row r="482">
      <c r="E482" s="65"/>
    </row>
    <row r="483">
      <c r="E483" s="65"/>
    </row>
    <row r="484">
      <c r="E484" s="65"/>
    </row>
    <row r="485">
      <c r="E485" s="65"/>
    </row>
    <row r="486">
      <c r="E486" s="65"/>
    </row>
    <row r="487">
      <c r="E487" s="65"/>
    </row>
    <row r="488">
      <c r="E488" s="65"/>
    </row>
    <row r="489">
      <c r="E489" s="65"/>
    </row>
    <row r="490">
      <c r="E490" s="65"/>
    </row>
    <row r="491">
      <c r="E491" s="65"/>
    </row>
    <row r="492">
      <c r="E492" s="65"/>
    </row>
    <row r="493">
      <c r="E493" s="65"/>
    </row>
    <row r="494">
      <c r="E494" s="65"/>
    </row>
    <row r="495">
      <c r="E495" s="65"/>
    </row>
    <row r="496">
      <c r="E496" s="65"/>
    </row>
    <row r="497">
      <c r="E497" s="65"/>
    </row>
    <row r="498">
      <c r="E498" s="65"/>
    </row>
    <row r="499">
      <c r="E499" s="65"/>
    </row>
    <row r="500">
      <c r="E500" s="65"/>
    </row>
    <row r="501">
      <c r="E501" s="65"/>
    </row>
    <row r="502">
      <c r="E502" s="65"/>
    </row>
    <row r="503">
      <c r="E503" s="65"/>
    </row>
    <row r="504">
      <c r="E504" s="65"/>
    </row>
    <row r="505">
      <c r="E505" s="65"/>
    </row>
    <row r="506">
      <c r="E506" s="65"/>
    </row>
    <row r="507">
      <c r="E507" s="65"/>
    </row>
    <row r="508">
      <c r="E508" s="65"/>
    </row>
    <row r="509">
      <c r="E509" s="65"/>
    </row>
    <row r="510">
      <c r="E510" s="65"/>
    </row>
    <row r="511">
      <c r="E511" s="65"/>
    </row>
    <row r="512">
      <c r="E512" s="65"/>
    </row>
    <row r="513">
      <c r="E513" s="65"/>
    </row>
    <row r="514">
      <c r="E514" s="65"/>
    </row>
    <row r="515">
      <c r="E515" s="65"/>
    </row>
    <row r="516">
      <c r="E516" s="65"/>
    </row>
    <row r="517">
      <c r="E517" s="65"/>
    </row>
    <row r="518">
      <c r="E518" s="65"/>
    </row>
    <row r="519">
      <c r="E519" s="65"/>
    </row>
    <row r="520">
      <c r="E520" s="65"/>
    </row>
    <row r="521">
      <c r="E521" s="65"/>
    </row>
    <row r="522">
      <c r="E522" s="65"/>
    </row>
    <row r="523">
      <c r="E523" s="65"/>
    </row>
    <row r="524">
      <c r="E524" s="65"/>
    </row>
    <row r="525">
      <c r="E525" s="65"/>
    </row>
    <row r="526">
      <c r="E526" s="65"/>
    </row>
    <row r="527">
      <c r="E527" s="65"/>
    </row>
    <row r="528">
      <c r="E528" s="65"/>
    </row>
    <row r="529">
      <c r="E529" s="65"/>
    </row>
    <row r="530">
      <c r="E530" s="65"/>
    </row>
    <row r="531">
      <c r="E531" s="65"/>
    </row>
    <row r="532">
      <c r="E532" s="65"/>
    </row>
    <row r="533">
      <c r="E533" s="65"/>
    </row>
    <row r="534">
      <c r="E534" s="65"/>
    </row>
    <row r="535">
      <c r="E535" s="65"/>
    </row>
    <row r="536">
      <c r="E536" s="65"/>
    </row>
    <row r="537">
      <c r="E537" s="65"/>
    </row>
    <row r="538">
      <c r="E538" s="65"/>
    </row>
    <row r="539">
      <c r="E539" s="65"/>
    </row>
    <row r="540">
      <c r="E540" s="65"/>
    </row>
    <row r="541">
      <c r="E541" s="65"/>
    </row>
    <row r="542">
      <c r="E542" s="65"/>
    </row>
    <row r="543">
      <c r="E543" s="65"/>
    </row>
    <row r="544">
      <c r="E544" s="65"/>
    </row>
    <row r="545">
      <c r="E545" s="65"/>
    </row>
    <row r="546">
      <c r="E546" s="65"/>
    </row>
    <row r="547">
      <c r="E547" s="65"/>
    </row>
    <row r="548">
      <c r="E548" s="65"/>
    </row>
    <row r="549">
      <c r="E549" s="65"/>
    </row>
    <row r="550">
      <c r="E550" s="65"/>
    </row>
    <row r="551">
      <c r="E551" s="65"/>
    </row>
    <row r="552">
      <c r="E552" s="65"/>
    </row>
    <row r="553">
      <c r="E553" s="65"/>
    </row>
    <row r="554">
      <c r="E554" s="65"/>
    </row>
    <row r="555">
      <c r="E555" s="65"/>
    </row>
    <row r="556">
      <c r="E556" s="65"/>
    </row>
    <row r="557">
      <c r="E557" s="65"/>
    </row>
    <row r="558">
      <c r="E558" s="65"/>
    </row>
    <row r="559">
      <c r="E559" s="65"/>
    </row>
    <row r="560">
      <c r="E560" s="65"/>
    </row>
    <row r="561">
      <c r="E561" s="65"/>
    </row>
    <row r="562">
      <c r="E562" s="65"/>
    </row>
    <row r="563">
      <c r="E563" s="65"/>
    </row>
    <row r="564">
      <c r="E564" s="65"/>
    </row>
    <row r="565">
      <c r="E565" s="65"/>
    </row>
    <row r="566">
      <c r="E566" s="65"/>
    </row>
    <row r="567">
      <c r="E567" s="65"/>
    </row>
    <row r="568">
      <c r="E568" s="65"/>
    </row>
    <row r="569">
      <c r="E569" s="65"/>
    </row>
    <row r="570">
      <c r="E570" s="65"/>
    </row>
    <row r="571">
      <c r="E571" s="65"/>
    </row>
    <row r="572">
      <c r="E572" s="65"/>
    </row>
    <row r="573">
      <c r="E573" s="65"/>
    </row>
    <row r="574">
      <c r="E574" s="65"/>
    </row>
    <row r="575">
      <c r="E575" s="65"/>
    </row>
    <row r="576">
      <c r="E576" s="65"/>
    </row>
    <row r="577">
      <c r="E577" s="65"/>
    </row>
    <row r="578">
      <c r="E578" s="65"/>
    </row>
    <row r="579">
      <c r="E579" s="65"/>
    </row>
    <row r="580">
      <c r="E580" s="65"/>
    </row>
    <row r="581">
      <c r="E581" s="65"/>
    </row>
    <row r="582">
      <c r="E582" s="65"/>
    </row>
    <row r="583">
      <c r="E583" s="65"/>
    </row>
    <row r="584">
      <c r="E584" s="65"/>
    </row>
    <row r="585">
      <c r="E585" s="65"/>
    </row>
    <row r="586">
      <c r="E586" s="65"/>
    </row>
    <row r="587">
      <c r="E587" s="65"/>
    </row>
    <row r="588">
      <c r="E588" s="65"/>
    </row>
    <row r="589">
      <c r="E589" s="65"/>
    </row>
    <row r="590">
      <c r="E590" s="65"/>
    </row>
    <row r="591">
      <c r="E591" s="65"/>
    </row>
    <row r="592">
      <c r="E592" s="65"/>
    </row>
    <row r="593">
      <c r="E593" s="65"/>
    </row>
    <row r="594">
      <c r="E594" s="65"/>
    </row>
    <row r="595">
      <c r="E595" s="65"/>
    </row>
    <row r="596">
      <c r="E596" s="65"/>
    </row>
    <row r="597">
      <c r="E597" s="65"/>
    </row>
    <row r="598">
      <c r="E598" s="65"/>
    </row>
    <row r="599">
      <c r="E599" s="65"/>
    </row>
    <row r="600">
      <c r="E600" s="65"/>
    </row>
    <row r="601">
      <c r="E601" s="65"/>
    </row>
    <row r="602">
      <c r="E602" s="65"/>
    </row>
    <row r="603">
      <c r="E603" s="65"/>
    </row>
    <row r="604">
      <c r="E604" s="65"/>
    </row>
    <row r="605">
      <c r="E605" s="65"/>
    </row>
    <row r="606">
      <c r="E606" s="65"/>
    </row>
    <row r="607">
      <c r="E607" s="65"/>
    </row>
    <row r="608">
      <c r="E608" s="65"/>
    </row>
    <row r="609">
      <c r="E609" s="65"/>
    </row>
    <row r="610">
      <c r="E610" s="65"/>
    </row>
    <row r="611">
      <c r="E611" s="65"/>
    </row>
    <row r="612">
      <c r="E612" s="65"/>
    </row>
    <row r="613">
      <c r="E613" s="65"/>
    </row>
    <row r="614">
      <c r="E614" s="65"/>
    </row>
    <row r="615">
      <c r="E615" s="65"/>
    </row>
    <row r="616">
      <c r="E616" s="65"/>
    </row>
    <row r="617">
      <c r="E617" s="65"/>
    </row>
    <row r="618">
      <c r="E618" s="65"/>
    </row>
    <row r="619">
      <c r="E619" s="65"/>
    </row>
    <row r="620">
      <c r="E620" s="65"/>
    </row>
    <row r="621">
      <c r="E621" s="65"/>
    </row>
    <row r="622">
      <c r="E622" s="65"/>
    </row>
    <row r="623">
      <c r="E623" s="65"/>
    </row>
    <row r="624">
      <c r="E624" s="65"/>
    </row>
    <row r="625">
      <c r="E625" s="65"/>
    </row>
    <row r="626">
      <c r="E626" s="65"/>
    </row>
    <row r="627">
      <c r="E627" s="65"/>
    </row>
    <row r="628">
      <c r="E628" s="65"/>
    </row>
    <row r="629">
      <c r="E629" s="65"/>
    </row>
    <row r="630">
      <c r="E630" s="65"/>
    </row>
    <row r="631">
      <c r="E631" s="65"/>
    </row>
    <row r="632">
      <c r="E632" s="65"/>
    </row>
    <row r="633">
      <c r="E633" s="65"/>
    </row>
    <row r="634">
      <c r="E634" s="65"/>
    </row>
    <row r="635">
      <c r="E635" s="65"/>
    </row>
    <row r="636">
      <c r="E636" s="65"/>
    </row>
    <row r="637">
      <c r="E637" s="65"/>
    </row>
    <row r="638">
      <c r="E638" s="65"/>
    </row>
    <row r="639">
      <c r="E639" s="65"/>
    </row>
    <row r="640">
      <c r="E640" s="65"/>
    </row>
    <row r="641">
      <c r="E641" s="65"/>
    </row>
    <row r="642">
      <c r="E642" s="65"/>
    </row>
    <row r="643">
      <c r="E643" s="65"/>
    </row>
    <row r="644">
      <c r="E644" s="65"/>
    </row>
    <row r="645">
      <c r="E645" s="65"/>
    </row>
    <row r="646">
      <c r="E646" s="65"/>
    </row>
    <row r="647">
      <c r="E647" s="65"/>
    </row>
    <row r="648">
      <c r="E648" s="65"/>
    </row>
    <row r="649">
      <c r="E649" s="65"/>
    </row>
    <row r="650">
      <c r="E650" s="65"/>
    </row>
    <row r="651">
      <c r="E651" s="65"/>
    </row>
    <row r="652">
      <c r="E652" s="65"/>
    </row>
    <row r="653">
      <c r="E653" s="65"/>
    </row>
    <row r="654">
      <c r="E654" s="65"/>
    </row>
    <row r="655">
      <c r="E655" s="65"/>
    </row>
    <row r="656">
      <c r="E656" s="65"/>
    </row>
    <row r="657">
      <c r="E657" s="65"/>
    </row>
    <row r="658">
      <c r="E658" s="65"/>
    </row>
    <row r="659">
      <c r="E659" s="65"/>
    </row>
    <row r="660">
      <c r="E660" s="65"/>
    </row>
    <row r="661">
      <c r="E661" s="65"/>
    </row>
    <row r="662">
      <c r="E662" s="65"/>
    </row>
    <row r="663">
      <c r="E663" s="65"/>
    </row>
    <row r="664">
      <c r="E664" s="65"/>
    </row>
    <row r="665">
      <c r="E665" s="65"/>
    </row>
    <row r="666">
      <c r="E666" s="65"/>
    </row>
    <row r="667">
      <c r="E667" s="65"/>
    </row>
    <row r="668">
      <c r="E668" s="65"/>
    </row>
    <row r="669">
      <c r="E669" s="65"/>
    </row>
    <row r="670">
      <c r="E670" s="65"/>
    </row>
    <row r="671">
      <c r="E671" s="65"/>
    </row>
    <row r="672">
      <c r="E672" s="65"/>
    </row>
    <row r="673">
      <c r="E673" s="65"/>
    </row>
    <row r="674">
      <c r="E674" s="65"/>
    </row>
    <row r="675">
      <c r="E675" s="65"/>
    </row>
    <row r="676">
      <c r="E676" s="65"/>
    </row>
    <row r="677">
      <c r="E677" s="65"/>
    </row>
    <row r="678">
      <c r="E678" s="65"/>
    </row>
    <row r="679">
      <c r="E679" s="65"/>
    </row>
    <row r="680">
      <c r="E680" s="65"/>
    </row>
    <row r="681">
      <c r="E681" s="65"/>
    </row>
    <row r="682">
      <c r="E682" s="65"/>
    </row>
    <row r="683">
      <c r="E683" s="65"/>
    </row>
    <row r="684">
      <c r="E684" s="65"/>
    </row>
    <row r="685">
      <c r="E685" s="65"/>
    </row>
    <row r="686">
      <c r="E686" s="65"/>
    </row>
    <row r="687">
      <c r="E687" s="65"/>
    </row>
    <row r="688">
      <c r="E688" s="65"/>
    </row>
    <row r="689">
      <c r="E689" s="65"/>
    </row>
    <row r="690">
      <c r="E690" s="65"/>
    </row>
    <row r="691">
      <c r="E691" s="65"/>
    </row>
    <row r="692">
      <c r="E692" s="65"/>
    </row>
    <row r="693">
      <c r="E693" s="65"/>
    </row>
    <row r="694">
      <c r="E694" s="65"/>
    </row>
    <row r="695">
      <c r="E695" s="65"/>
    </row>
    <row r="696">
      <c r="E696" s="65"/>
    </row>
    <row r="697">
      <c r="E697" s="65"/>
    </row>
    <row r="698">
      <c r="E698" s="65"/>
    </row>
    <row r="699">
      <c r="E699" s="65"/>
    </row>
    <row r="700">
      <c r="E700" s="65"/>
    </row>
    <row r="701">
      <c r="E701" s="65"/>
    </row>
    <row r="702">
      <c r="E702" s="65"/>
    </row>
    <row r="703">
      <c r="E703" s="65"/>
    </row>
    <row r="704">
      <c r="E704" s="65"/>
    </row>
    <row r="705">
      <c r="E705" s="65"/>
    </row>
    <row r="706">
      <c r="E706" s="65"/>
    </row>
    <row r="707">
      <c r="E707" s="65"/>
    </row>
    <row r="708">
      <c r="E708" s="65"/>
    </row>
    <row r="709">
      <c r="E709" s="65"/>
    </row>
    <row r="710">
      <c r="E710" s="65"/>
    </row>
    <row r="711">
      <c r="E711" s="65"/>
    </row>
    <row r="712">
      <c r="E712" s="65"/>
    </row>
    <row r="713">
      <c r="E713" s="65"/>
    </row>
    <row r="714">
      <c r="E714" s="65"/>
    </row>
    <row r="715">
      <c r="E715" s="65"/>
    </row>
    <row r="716">
      <c r="E716" s="65"/>
    </row>
    <row r="717">
      <c r="E717" s="65"/>
    </row>
    <row r="718">
      <c r="E718" s="65"/>
    </row>
    <row r="719">
      <c r="E719" s="65"/>
    </row>
    <row r="720">
      <c r="E720" s="65"/>
    </row>
    <row r="721">
      <c r="E721" s="65"/>
    </row>
    <row r="722">
      <c r="E722" s="65"/>
    </row>
    <row r="723">
      <c r="E723" s="65"/>
    </row>
    <row r="724">
      <c r="E724" s="65"/>
    </row>
    <row r="725">
      <c r="E725" s="65"/>
    </row>
    <row r="726">
      <c r="E726" s="65"/>
    </row>
    <row r="727">
      <c r="E727" s="65"/>
    </row>
    <row r="728">
      <c r="E728" s="65"/>
    </row>
    <row r="729">
      <c r="E729" s="65"/>
    </row>
    <row r="730">
      <c r="E730" s="65"/>
    </row>
    <row r="731">
      <c r="E731" s="65"/>
    </row>
    <row r="732">
      <c r="E732" s="65"/>
    </row>
    <row r="733">
      <c r="E733" s="65"/>
    </row>
    <row r="734">
      <c r="E734" s="65"/>
    </row>
    <row r="735">
      <c r="E735" s="65"/>
    </row>
    <row r="736">
      <c r="E736" s="65"/>
    </row>
    <row r="737">
      <c r="E737" s="65"/>
    </row>
    <row r="738">
      <c r="E738" s="65"/>
    </row>
    <row r="739">
      <c r="E739" s="65"/>
    </row>
    <row r="740">
      <c r="E740" s="65"/>
    </row>
    <row r="741">
      <c r="E741" s="65"/>
    </row>
    <row r="742">
      <c r="E742" s="65"/>
    </row>
    <row r="743">
      <c r="E743" s="65"/>
    </row>
    <row r="744">
      <c r="E744" s="65"/>
    </row>
    <row r="745">
      <c r="E745" s="65"/>
    </row>
    <row r="746">
      <c r="E746" s="65"/>
    </row>
    <row r="747">
      <c r="E747" s="65"/>
    </row>
    <row r="748">
      <c r="E748" s="65"/>
    </row>
    <row r="749">
      <c r="E749" s="65"/>
    </row>
    <row r="750">
      <c r="E750" s="65"/>
    </row>
    <row r="751">
      <c r="E751" s="65"/>
    </row>
    <row r="752">
      <c r="E752" s="65"/>
    </row>
    <row r="753">
      <c r="E753" s="65"/>
    </row>
    <row r="754">
      <c r="E754" s="65"/>
    </row>
    <row r="755">
      <c r="E755" s="65"/>
    </row>
    <row r="756">
      <c r="E756" s="65"/>
    </row>
    <row r="757">
      <c r="E757" s="65"/>
    </row>
    <row r="758">
      <c r="E758" s="65"/>
    </row>
    <row r="759">
      <c r="E759" s="65"/>
    </row>
    <row r="760">
      <c r="E760" s="65"/>
    </row>
    <row r="761">
      <c r="E761" s="65"/>
    </row>
    <row r="762">
      <c r="E762" s="65"/>
    </row>
    <row r="763">
      <c r="E763" s="65"/>
    </row>
    <row r="764">
      <c r="E764" s="65"/>
    </row>
    <row r="765">
      <c r="E765" s="65"/>
    </row>
    <row r="766">
      <c r="E766" s="65"/>
    </row>
    <row r="767">
      <c r="E767" s="65"/>
    </row>
    <row r="768">
      <c r="E768" s="65"/>
    </row>
    <row r="769">
      <c r="E769" s="65"/>
    </row>
    <row r="770">
      <c r="E770" s="65"/>
    </row>
    <row r="771">
      <c r="E771" s="65"/>
    </row>
    <row r="772">
      <c r="E772" s="65"/>
    </row>
    <row r="773">
      <c r="E773" s="65"/>
    </row>
    <row r="774">
      <c r="E774" s="65"/>
    </row>
    <row r="775">
      <c r="E775" s="65"/>
    </row>
    <row r="776">
      <c r="E776" s="65"/>
    </row>
    <row r="777">
      <c r="E777" s="65"/>
    </row>
    <row r="778">
      <c r="E778" s="65"/>
    </row>
    <row r="779">
      <c r="E779" s="65"/>
    </row>
    <row r="780">
      <c r="E780" s="65"/>
    </row>
    <row r="781">
      <c r="E781" s="65"/>
    </row>
    <row r="782">
      <c r="E782" s="65"/>
    </row>
    <row r="783">
      <c r="E783" s="65"/>
    </row>
    <row r="784">
      <c r="E784" s="65"/>
    </row>
    <row r="785">
      <c r="E785" s="65"/>
    </row>
    <row r="786">
      <c r="E786" s="65"/>
    </row>
    <row r="787">
      <c r="E787" s="65"/>
    </row>
    <row r="788">
      <c r="E788" s="65"/>
    </row>
    <row r="789">
      <c r="E789" s="65"/>
    </row>
    <row r="790">
      <c r="E790" s="65"/>
    </row>
    <row r="791">
      <c r="E791" s="65"/>
    </row>
    <row r="792">
      <c r="E792" s="65"/>
    </row>
    <row r="793">
      <c r="E793" s="65"/>
    </row>
    <row r="794">
      <c r="E794" s="65"/>
    </row>
    <row r="795">
      <c r="E795" s="65"/>
    </row>
    <row r="796">
      <c r="E796" s="65"/>
    </row>
    <row r="797">
      <c r="E797" s="65"/>
    </row>
    <row r="798">
      <c r="E798" s="65"/>
    </row>
    <row r="799">
      <c r="E799" s="65"/>
    </row>
    <row r="800">
      <c r="E800" s="65"/>
    </row>
    <row r="801">
      <c r="E801" s="65"/>
    </row>
    <row r="802">
      <c r="E802" s="65"/>
    </row>
    <row r="803">
      <c r="E803" s="65"/>
    </row>
    <row r="804">
      <c r="E804" s="65"/>
    </row>
    <row r="805">
      <c r="E805" s="65"/>
    </row>
    <row r="806">
      <c r="E806" s="65"/>
    </row>
    <row r="807">
      <c r="E807" s="65"/>
    </row>
    <row r="808">
      <c r="E808" s="65"/>
    </row>
    <row r="809">
      <c r="E809" s="65"/>
    </row>
    <row r="810">
      <c r="E810" s="65"/>
    </row>
    <row r="811">
      <c r="E811" s="65"/>
    </row>
    <row r="812">
      <c r="E812" s="65"/>
    </row>
    <row r="813">
      <c r="E813" s="65"/>
    </row>
    <row r="814">
      <c r="E814" s="65"/>
    </row>
    <row r="815">
      <c r="E815" s="65"/>
    </row>
    <row r="816">
      <c r="E816" s="65"/>
    </row>
    <row r="817">
      <c r="E817" s="65"/>
    </row>
    <row r="818">
      <c r="E818" s="65"/>
    </row>
    <row r="819">
      <c r="E819" s="65"/>
    </row>
    <row r="820">
      <c r="E820" s="65"/>
    </row>
    <row r="821">
      <c r="E821" s="65"/>
    </row>
    <row r="822">
      <c r="E822" s="65"/>
    </row>
    <row r="823">
      <c r="E823" s="65"/>
    </row>
    <row r="824">
      <c r="E824" s="65"/>
    </row>
    <row r="825">
      <c r="E825" s="65"/>
    </row>
    <row r="826">
      <c r="E826" s="65"/>
    </row>
    <row r="827">
      <c r="E827" s="65"/>
    </row>
    <row r="828">
      <c r="E828" s="65"/>
    </row>
    <row r="829">
      <c r="E829" s="65"/>
    </row>
    <row r="830">
      <c r="E830" s="65"/>
    </row>
    <row r="831">
      <c r="E831" s="65"/>
    </row>
    <row r="832">
      <c r="E832" s="65"/>
    </row>
    <row r="833">
      <c r="E833" s="65"/>
    </row>
    <row r="834">
      <c r="E834" s="65"/>
    </row>
    <row r="835">
      <c r="E835" s="65"/>
    </row>
    <row r="836">
      <c r="E836" s="65"/>
    </row>
    <row r="837">
      <c r="E837" s="65"/>
    </row>
    <row r="838">
      <c r="E838" s="65"/>
    </row>
    <row r="839">
      <c r="E839" s="65"/>
    </row>
    <row r="840">
      <c r="E840" s="65"/>
    </row>
  </sheetData>
  <autoFilter ref="$B$1:$AC$84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 customWidth="1" min="2" max="2" width="87.75"/>
  </cols>
  <sheetData>
    <row r="1">
      <c r="A1" s="66" t="s">
        <v>440</v>
      </c>
      <c r="B1" s="66"/>
      <c r="C1" s="66"/>
      <c r="D1" s="66"/>
      <c r="E1" s="66"/>
      <c r="F1" s="66"/>
      <c r="G1" s="66"/>
      <c r="H1" s="66"/>
      <c r="I1" s="66"/>
      <c r="J1" s="66"/>
      <c r="K1" s="66"/>
      <c r="L1" s="66"/>
      <c r="M1" s="66"/>
      <c r="N1" s="66"/>
      <c r="O1" s="66"/>
      <c r="P1" s="66"/>
      <c r="Q1" s="66"/>
      <c r="R1" s="66"/>
      <c r="S1" s="66"/>
      <c r="T1" s="66"/>
      <c r="U1" s="66"/>
      <c r="V1" s="66"/>
      <c r="W1" s="66"/>
      <c r="X1" s="66"/>
      <c r="Y1" s="66"/>
      <c r="Z1" s="66"/>
    </row>
    <row r="2">
      <c r="A2" s="67"/>
      <c r="B2" s="67"/>
      <c r="C2" s="67"/>
      <c r="D2" s="67"/>
      <c r="E2" s="67"/>
      <c r="F2" s="67"/>
      <c r="G2" s="67"/>
      <c r="H2" s="67"/>
      <c r="I2" s="67"/>
      <c r="J2" s="67"/>
      <c r="K2" s="67"/>
      <c r="L2" s="67"/>
      <c r="M2" s="67"/>
      <c r="N2" s="67"/>
      <c r="O2" s="67"/>
      <c r="P2" s="67"/>
      <c r="Q2" s="67"/>
      <c r="R2" s="67"/>
      <c r="S2" s="67"/>
      <c r="T2" s="67"/>
      <c r="U2" s="67"/>
      <c r="V2" s="67"/>
      <c r="W2" s="67"/>
      <c r="X2" s="67"/>
      <c r="Y2" s="67"/>
      <c r="Z2" s="67"/>
    </row>
    <row r="3">
      <c r="A3" s="68" t="s">
        <v>441</v>
      </c>
      <c r="B3" s="69" t="s">
        <v>442</v>
      </c>
      <c r="C3" s="70"/>
      <c r="D3" s="70"/>
      <c r="E3" s="70"/>
      <c r="F3" s="70"/>
      <c r="G3" s="70"/>
      <c r="H3" s="70"/>
      <c r="I3" s="70"/>
      <c r="J3" s="70"/>
      <c r="K3" s="70"/>
      <c r="L3" s="70"/>
      <c r="M3" s="70"/>
      <c r="N3" s="70"/>
      <c r="O3" s="70"/>
      <c r="P3" s="70"/>
      <c r="Q3" s="70"/>
      <c r="R3" s="70"/>
      <c r="S3" s="70"/>
      <c r="T3" s="70"/>
      <c r="U3" s="70"/>
      <c r="V3" s="70"/>
      <c r="W3" s="70"/>
      <c r="X3" s="70"/>
      <c r="Y3" s="70"/>
      <c r="Z3" s="70"/>
    </row>
    <row r="4">
      <c r="A4" s="14" t="s">
        <v>10</v>
      </c>
      <c r="B4" s="71" t="s">
        <v>443</v>
      </c>
    </row>
    <row r="5">
      <c r="A5" s="31" t="s">
        <v>58</v>
      </c>
      <c r="B5" s="71" t="s">
        <v>444</v>
      </c>
    </row>
    <row r="6">
      <c r="A6" s="14" t="s">
        <v>10</v>
      </c>
      <c r="B6" s="71" t="s">
        <v>445</v>
      </c>
    </row>
    <row r="7">
      <c r="A7" s="14" t="s">
        <v>11</v>
      </c>
      <c r="B7" s="71" t="s">
        <v>446</v>
      </c>
    </row>
    <row r="8">
      <c r="A8" s="7" t="s">
        <v>447</v>
      </c>
      <c r="B8" s="71" t="s">
        <v>448</v>
      </c>
    </row>
    <row r="9">
      <c r="A9" s="7" t="s">
        <v>22</v>
      </c>
      <c r="B9" s="71" t="s">
        <v>449</v>
      </c>
    </row>
    <row r="10">
      <c r="A10" s="14" t="s">
        <v>11</v>
      </c>
      <c r="B10" s="71" t="s">
        <v>450</v>
      </c>
    </row>
    <row r="11">
      <c r="A11" s="7" t="s">
        <v>22</v>
      </c>
      <c r="B11" s="71" t="s">
        <v>451</v>
      </c>
    </row>
    <row r="12">
      <c r="A12" s="14" t="s">
        <v>11</v>
      </c>
      <c r="B12" s="71" t="s">
        <v>452</v>
      </c>
    </row>
    <row r="13">
      <c r="A13" s="14" t="s">
        <v>11</v>
      </c>
      <c r="B13" s="71" t="s">
        <v>453</v>
      </c>
    </row>
    <row r="14">
      <c r="A14" s="14" t="s">
        <v>11</v>
      </c>
      <c r="B14" s="71" t="s">
        <v>454</v>
      </c>
    </row>
    <row r="15">
      <c r="A15" s="14" t="s">
        <v>58</v>
      </c>
      <c r="B15" s="71" t="s">
        <v>455</v>
      </c>
    </row>
    <row r="16">
      <c r="A16" s="14" t="s">
        <v>11</v>
      </c>
      <c r="B16" s="71" t="s">
        <v>456</v>
      </c>
    </row>
    <row r="17">
      <c r="A17" s="14" t="s">
        <v>11</v>
      </c>
      <c r="B17" s="71" t="s">
        <v>457</v>
      </c>
    </row>
    <row r="18">
      <c r="A18" s="14" t="s">
        <v>11</v>
      </c>
      <c r="B18" s="71" t="s">
        <v>458</v>
      </c>
    </row>
    <row r="19">
      <c r="A19" s="14" t="s">
        <v>11</v>
      </c>
      <c r="B19" s="71" t="s">
        <v>459</v>
      </c>
    </row>
    <row r="20">
      <c r="A20" s="14" t="s">
        <v>11</v>
      </c>
      <c r="B20" s="71" t="s">
        <v>460</v>
      </c>
    </row>
    <row r="21">
      <c r="A21" s="14" t="s">
        <v>10</v>
      </c>
      <c r="B21" s="71" t="s">
        <v>461</v>
      </c>
    </row>
    <row r="22">
      <c r="A22" s="24" t="s">
        <v>462</v>
      </c>
      <c r="B22" s="71" t="s">
        <v>463</v>
      </c>
    </row>
    <row r="23">
      <c r="A23" s="7" t="s">
        <v>447</v>
      </c>
      <c r="B23" s="71" t="s">
        <v>464</v>
      </c>
    </row>
    <row r="24">
      <c r="A24" s="7" t="s">
        <v>447</v>
      </c>
      <c r="B24" s="71" t="s">
        <v>465</v>
      </c>
    </row>
    <row r="25">
      <c r="A25" s="14" t="s">
        <v>11</v>
      </c>
      <c r="B25" s="71" t="s">
        <v>466</v>
      </c>
    </row>
    <row r="26">
      <c r="A26" s="7" t="s">
        <v>467</v>
      </c>
      <c r="B26" s="71" t="s">
        <v>468</v>
      </c>
    </row>
    <row r="27">
      <c r="A27" s="4" t="s">
        <v>12</v>
      </c>
      <c r="B27" s="71" t="s">
        <v>469</v>
      </c>
    </row>
    <row r="28">
      <c r="A28" s="7" t="s">
        <v>447</v>
      </c>
      <c r="B28" s="71" t="s">
        <v>470</v>
      </c>
    </row>
    <row r="29">
      <c r="A29" s="7" t="s">
        <v>447</v>
      </c>
      <c r="B29" s="71" t="s">
        <v>471</v>
      </c>
    </row>
    <row r="30">
      <c r="A30" s="7" t="s">
        <v>467</v>
      </c>
      <c r="B30" s="71" t="s">
        <v>472</v>
      </c>
    </row>
    <row r="31">
      <c r="A31" s="7" t="s">
        <v>447</v>
      </c>
      <c r="B31" s="71" t="s">
        <v>473</v>
      </c>
    </row>
    <row r="32">
      <c r="A32" s="7" t="s">
        <v>447</v>
      </c>
      <c r="B32" s="71" t="s">
        <v>474</v>
      </c>
    </row>
    <row r="33">
      <c r="A33" s="4" t="s">
        <v>12</v>
      </c>
      <c r="B33" s="71" t="s">
        <v>475</v>
      </c>
    </row>
    <row r="34">
      <c r="A34" s="7" t="s">
        <v>467</v>
      </c>
      <c r="B34" s="71" t="s">
        <v>476</v>
      </c>
    </row>
    <row r="35">
      <c r="A35" s="14" t="s">
        <v>10</v>
      </c>
      <c r="B35" s="71" t="s">
        <v>477</v>
      </c>
    </row>
    <row r="36">
      <c r="A36" s="4" t="s">
        <v>12</v>
      </c>
      <c r="B36" s="71" t="s">
        <v>478</v>
      </c>
    </row>
    <row r="37">
      <c r="A37" s="4" t="s">
        <v>12</v>
      </c>
      <c r="B37" s="71" t="s">
        <v>479</v>
      </c>
    </row>
    <row r="38">
      <c r="A38" s="4" t="s">
        <v>12</v>
      </c>
      <c r="B38" s="71" t="s">
        <v>480</v>
      </c>
    </row>
    <row r="39">
      <c r="A39" s="7" t="s">
        <v>447</v>
      </c>
      <c r="B39" s="71" t="s">
        <v>481</v>
      </c>
    </row>
    <row r="40">
      <c r="A40" s="14" t="s">
        <v>11</v>
      </c>
      <c r="B40" s="71" t="s">
        <v>482</v>
      </c>
    </row>
    <row r="41">
      <c r="A41" s="14" t="s">
        <v>10</v>
      </c>
      <c r="B41" s="71" t="s">
        <v>483</v>
      </c>
    </row>
    <row r="42">
      <c r="A42" s="7" t="s">
        <v>447</v>
      </c>
      <c r="B42" s="71" t="s">
        <v>484</v>
      </c>
    </row>
    <row r="43">
      <c r="B43" s="72"/>
    </row>
    <row r="44">
      <c r="B44" s="72"/>
    </row>
    <row r="45">
      <c r="B45" s="72"/>
    </row>
    <row r="46">
      <c r="B46" s="72"/>
    </row>
    <row r="47">
      <c r="B47" s="72"/>
    </row>
    <row r="48">
      <c r="B48" s="72"/>
    </row>
    <row r="49">
      <c r="B49" s="72"/>
    </row>
    <row r="50">
      <c r="B50" s="72"/>
    </row>
    <row r="51">
      <c r="B51" s="72"/>
    </row>
    <row r="52">
      <c r="B52" s="72"/>
    </row>
    <row r="53">
      <c r="B53" s="72"/>
    </row>
    <row r="54">
      <c r="B54" s="72"/>
    </row>
    <row r="55">
      <c r="B55" s="72"/>
    </row>
    <row r="56">
      <c r="B56" s="72"/>
    </row>
    <row r="57">
      <c r="B57" s="72"/>
    </row>
    <row r="58">
      <c r="B58" s="72"/>
    </row>
    <row r="59">
      <c r="B59" s="72"/>
    </row>
    <row r="60">
      <c r="B60" s="72"/>
    </row>
    <row r="61">
      <c r="B61" s="72"/>
    </row>
    <row r="62">
      <c r="B62" s="72"/>
    </row>
    <row r="63">
      <c r="B63" s="72"/>
    </row>
    <row r="64">
      <c r="B64" s="72"/>
    </row>
    <row r="65">
      <c r="B65" s="72"/>
    </row>
    <row r="66">
      <c r="B66" s="72"/>
    </row>
    <row r="67">
      <c r="B67" s="72"/>
    </row>
    <row r="68">
      <c r="B68" s="72"/>
    </row>
    <row r="69">
      <c r="B69" s="72"/>
    </row>
    <row r="70">
      <c r="B70" s="72"/>
    </row>
    <row r="71">
      <c r="B71" s="72"/>
    </row>
    <row r="72">
      <c r="B72" s="72"/>
    </row>
    <row r="73">
      <c r="B73" s="72"/>
    </row>
    <row r="74">
      <c r="B74" s="72"/>
    </row>
    <row r="75">
      <c r="B75" s="72"/>
    </row>
    <row r="76">
      <c r="B76" s="72"/>
    </row>
    <row r="77">
      <c r="B77" s="72"/>
    </row>
    <row r="78">
      <c r="B78" s="72"/>
    </row>
    <row r="79">
      <c r="B79" s="72"/>
    </row>
    <row r="80">
      <c r="B80" s="72"/>
    </row>
    <row r="81">
      <c r="B81" s="72"/>
    </row>
    <row r="82">
      <c r="B82" s="72"/>
    </row>
    <row r="83">
      <c r="B83" s="72"/>
    </row>
    <row r="84">
      <c r="B84" s="72"/>
    </row>
    <row r="85">
      <c r="B85" s="72"/>
    </row>
    <row r="86">
      <c r="B86" s="72"/>
    </row>
    <row r="87">
      <c r="B87" s="72"/>
    </row>
    <row r="88">
      <c r="B88" s="72"/>
    </row>
    <row r="89">
      <c r="B89" s="72"/>
    </row>
    <row r="90">
      <c r="B90" s="72"/>
    </row>
    <row r="91">
      <c r="B91" s="72"/>
    </row>
    <row r="92">
      <c r="B92" s="72"/>
    </row>
    <row r="93">
      <c r="B93" s="72"/>
    </row>
    <row r="94">
      <c r="B94" s="72"/>
    </row>
    <row r="95">
      <c r="B95" s="72"/>
    </row>
    <row r="96">
      <c r="B96" s="72"/>
    </row>
    <row r="97">
      <c r="B97" s="72"/>
    </row>
    <row r="98">
      <c r="B98" s="72"/>
    </row>
    <row r="99">
      <c r="B99" s="72"/>
    </row>
    <row r="100">
      <c r="B100" s="72"/>
    </row>
    <row r="101">
      <c r="B101" s="72"/>
    </row>
    <row r="102">
      <c r="B102" s="72"/>
    </row>
    <row r="103">
      <c r="B103" s="72"/>
    </row>
    <row r="104">
      <c r="B104" s="72"/>
    </row>
    <row r="105">
      <c r="B105" s="72"/>
    </row>
    <row r="106">
      <c r="B106" s="72"/>
    </row>
    <row r="107">
      <c r="B107" s="72"/>
    </row>
    <row r="108">
      <c r="B108" s="72"/>
    </row>
    <row r="109">
      <c r="B109" s="72"/>
    </row>
    <row r="110">
      <c r="B110" s="72"/>
    </row>
    <row r="111">
      <c r="B111" s="72"/>
    </row>
    <row r="112">
      <c r="B112" s="72"/>
    </row>
    <row r="113">
      <c r="B113" s="72"/>
    </row>
    <row r="114">
      <c r="B114" s="72"/>
    </row>
    <row r="115">
      <c r="B115" s="72"/>
    </row>
    <row r="116">
      <c r="B116" s="72"/>
    </row>
    <row r="117">
      <c r="B117" s="72"/>
    </row>
    <row r="118">
      <c r="B118" s="72"/>
    </row>
    <row r="119">
      <c r="B119" s="72"/>
    </row>
    <row r="120">
      <c r="B120" s="72"/>
    </row>
    <row r="121">
      <c r="B121" s="72"/>
    </row>
    <row r="122">
      <c r="B122" s="72"/>
    </row>
    <row r="123">
      <c r="B123" s="72"/>
    </row>
    <row r="124">
      <c r="B124" s="72"/>
    </row>
    <row r="125">
      <c r="B125" s="72"/>
    </row>
    <row r="126">
      <c r="B126" s="72"/>
    </row>
    <row r="127">
      <c r="B127" s="72"/>
    </row>
    <row r="128">
      <c r="B128" s="72"/>
    </row>
    <row r="129">
      <c r="B129" s="72"/>
    </row>
    <row r="130">
      <c r="B130" s="72"/>
    </row>
    <row r="131">
      <c r="B131" s="72"/>
    </row>
    <row r="132">
      <c r="B132" s="72"/>
    </row>
    <row r="133">
      <c r="B133" s="72"/>
    </row>
    <row r="134">
      <c r="B134" s="72"/>
    </row>
    <row r="135">
      <c r="B135" s="72"/>
    </row>
    <row r="136">
      <c r="B136" s="72"/>
    </row>
    <row r="137">
      <c r="B137" s="72"/>
    </row>
    <row r="138">
      <c r="B138" s="72"/>
    </row>
    <row r="139">
      <c r="B139" s="72"/>
    </row>
    <row r="140">
      <c r="B140" s="72"/>
    </row>
    <row r="141">
      <c r="B141" s="72"/>
    </row>
    <row r="142">
      <c r="B142" s="72"/>
    </row>
    <row r="143">
      <c r="B143" s="72"/>
    </row>
    <row r="144">
      <c r="B144" s="72"/>
    </row>
    <row r="145">
      <c r="B145" s="72"/>
    </row>
    <row r="146">
      <c r="B146" s="72"/>
    </row>
    <row r="147">
      <c r="B147" s="72"/>
    </row>
    <row r="148">
      <c r="B148" s="72"/>
    </row>
    <row r="149">
      <c r="B149" s="72"/>
    </row>
    <row r="150">
      <c r="B150" s="72"/>
    </row>
    <row r="151">
      <c r="B151" s="72"/>
    </row>
    <row r="152">
      <c r="B152" s="72"/>
    </row>
    <row r="153">
      <c r="B153" s="72"/>
    </row>
    <row r="154">
      <c r="B154" s="72"/>
    </row>
    <row r="155">
      <c r="B155" s="72"/>
    </row>
    <row r="156">
      <c r="B156" s="72"/>
    </row>
    <row r="157">
      <c r="B157" s="72"/>
    </row>
    <row r="158">
      <c r="B158" s="72"/>
    </row>
    <row r="159">
      <c r="B159" s="72"/>
    </row>
    <row r="160">
      <c r="B160" s="72"/>
    </row>
    <row r="161">
      <c r="B161" s="72"/>
    </row>
    <row r="162">
      <c r="B162" s="72"/>
    </row>
    <row r="163">
      <c r="B163" s="72"/>
    </row>
    <row r="164">
      <c r="B164" s="72"/>
    </row>
    <row r="165">
      <c r="B165" s="72"/>
    </row>
    <row r="166">
      <c r="B166" s="72"/>
    </row>
    <row r="167">
      <c r="B167" s="72"/>
    </row>
    <row r="168">
      <c r="B168" s="72"/>
    </row>
    <row r="169">
      <c r="B169" s="72"/>
    </row>
    <row r="170">
      <c r="B170" s="72"/>
    </row>
    <row r="171">
      <c r="B171" s="72"/>
    </row>
    <row r="172">
      <c r="B172" s="72"/>
    </row>
    <row r="173">
      <c r="B173" s="72"/>
    </row>
    <row r="174">
      <c r="B174" s="72"/>
    </row>
    <row r="175">
      <c r="B175" s="72"/>
    </row>
    <row r="176">
      <c r="B176" s="72"/>
    </row>
    <row r="177">
      <c r="B177" s="72"/>
    </row>
    <row r="178">
      <c r="B178" s="72"/>
    </row>
    <row r="179">
      <c r="B179" s="72"/>
    </row>
    <row r="180">
      <c r="B180" s="72"/>
    </row>
    <row r="181">
      <c r="B181" s="72"/>
    </row>
    <row r="182">
      <c r="B182" s="72"/>
    </row>
    <row r="183">
      <c r="B183" s="72"/>
    </row>
    <row r="184">
      <c r="B184" s="72"/>
    </row>
    <row r="185">
      <c r="B185" s="72"/>
    </row>
    <row r="186">
      <c r="B186" s="72"/>
    </row>
    <row r="187">
      <c r="B187" s="72"/>
    </row>
    <row r="188">
      <c r="B188" s="72"/>
    </row>
    <row r="189">
      <c r="B189" s="72"/>
    </row>
    <row r="190">
      <c r="B190" s="72"/>
    </row>
    <row r="191">
      <c r="B191" s="72"/>
    </row>
    <row r="192">
      <c r="B192" s="72"/>
    </row>
    <row r="193">
      <c r="B193" s="72"/>
    </row>
    <row r="194">
      <c r="B194" s="72"/>
    </row>
    <row r="195">
      <c r="B195" s="72"/>
    </row>
    <row r="196">
      <c r="B196" s="72"/>
    </row>
    <row r="197">
      <c r="B197" s="72"/>
    </row>
    <row r="198">
      <c r="B198" s="72"/>
    </row>
    <row r="199">
      <c r="B199" s="72"/>
    </row>
    <row r="200">
      <c r="B200" s="72"/>
    </row>
    <row r="201">
      <c r="B201" s="72"/>
    </row>
    <row r="202">
      <c r="B202" s="72"/>
    </row>
    <row r="203">
      <c r="B203" s="72"/>
    </row>
    <row r="204">
      <c r="B204" s="72"/>
    </row>
    <row r="205">
      <c r="B205" s="72"/>
    </row>
    <row r="206">
      <c r="B206" s="72"/>
    </row>
    <row r="207">
      <c r="B207" s="72"/>
    </row>
    <row r="208">
      <c r="B208" s="72"/>
    </row>
    <row r="209">
      <c r="B209" s="72"/>
    </row>
    <row r="210">
      <c r="B210" s="72"/>
    </row>
    <row r="211">
      <c r="B211" s="72"/>
    </row>
    <row r="212">
      <c r="B212" s="72"/>
    </row>
    <row r="213">
      <c r="B213" s="72"/>
    </row>
    <row r="214">
      <c r="B214" s="72"/>
    </row>
    <row r="215">
      <c r="B215" s="72"/>
    </row>
    <row r="216">
      <c r="B216" s="72"/>
    </row>
    <row r="217">
      <c r="B217" s="72"/>
    </row>
    <row r="218">
      <c r="B218" s="72"/>
    </row>
    <row r="219">
      <c r="B219" s="72"/>
    </row>
    <row r="220">
      <c r="B220" s="72"/>
    </row>
    <row r="221">
      <c r="B221" s="72"/>
    </row>
    <row r="222">
      <c r="B222" s="72"/>
    </row>
    <row r="223">
      <c r="B223" s="72"/>
    </row>
    <row r="224">
      <c r="B224" s="72"/>
    </row>
    <row r="225">
      <c r="B225" s="72"/>
    </row>
    <row r="226">
      <c r="B226" s="72"/>
    </row>
    <row r="227">
      <c r="B227" s="72"/>
    </row>
    <row r="228">
      <c r="B228" s="72"/>
    </row>
    <row r="229">
      <c r="B229" s="72"/>
    </row>
    <row r="230">
      <c r="B230" s="72"/>
    </row>
    <row r="231">
      <c r="B231" s="72"/>
    </row>
    <row r="232">
      <c r="B232" s="72"/>
    </row>
    <row r="233">
      <c r="B233" s="72"/>
    </row>
    <row r="234">
      <c r="B234" s="72"/>
    </row>
    <row r="235">
      <c r="B235" s="72"/>
    </row>
    <row r="236">
      <c r="B236" s="72"/>
    </row>
    <row r="237">
      <c r="B237" s="72"/>
    </row>
    <row r="238">
      <c r="B238" s="72"/>
    </row>
    <row r="239">
      <c r="B239" s="72"/>
    </row>
    <row r="240">
      <c r="B240" s="72"/>
    </row>
    <row r="241">
      <c r="B241" s="72"/>
    </row>
    <row r="242">
      <c r="B242" s="72"/>
    </row>
    <row r="243">
      <c r="B243" s="72"/>
    </row>
    <row r="244">
      <c r="B244" s="72"/>
    </row>
    <row r="245">
      <c r="B245" s="72"/>
    </row>
    <row r="246">
      <c r="B246" s="72"/>
    </row>
    <row r="247">
      <c r="B247" s="72"/>
    </row>
    <row r="248">
      <c r="B248" s="72"/>
    </row>
    <row r="249">
      <c r="B249" s="72"/>
    </row>
    <row r="250">
      <c r="B250" s="72"/>
    </row>
    <row r="251">
      <c r="B251" s="72"/>
    </row>
    <row r="252">
      <c r="B252" s="72"/>
    </row>
    <row r="253">
      <c r="B253" s="72"/>
    </row>
    <row r="254">
      <c r="B254" s="72"/>
    </row>
    <row r="255">
      <c r="B255" s="72"/>
    </row>
    <row r="256">
      <c r="B256" s="72"/>
    </row>
    <row r="257">
      <c r="B257" s="72"/>
    </row>
    <row r="258">
      <c r="B258" s="72"/>
    </row>
    <row r="259">
      <c r="B259" s="72"/>
    </row>
    <row r="260">
      <c r="B260" s="72"/>
    </row>
    <row r="261">
      <c r="B261" s="72"/>
    </row>
    <row r="262">
      <c r="B262" s="72"/>
    </row>
    <row r="263">
      <c r="B263" s="72"/>
    </row>
    <row r="264">
      <c r="B264" s="72"/>
    </row>
    <row r="265">
      <c r="B265" s="72"/>
    </row>
    <row r="266">
      <c r="B266" s="72"/>
    </row>
    <row r="267">
      <c r="B267" s="72"/>
    </row>
    <row r="268">
      <c r="B268" s="72"/>
    </row>
    <row r="269">
      <c r="B269" s="72"/>
    </row>
    <row r="270">
      <c r="B270" s="72"/>
    </row>
    <row r="271">
      <c r="B271" s="72"/>
    </row>
    <row r="272">
      <c r="B272" s="72"/>
    </row>
    <row r="273">
      <c r="B273" s="72"/>
    </row>
    <row r="274">
      <c r="B274" s="72"/>
    </row>
    <row r="275">
      <c r="B275" s="72"/>
    </row>
    <row r="276">
      <c r="B276" s="72"/>
    </row>
    <row r="277">
      <c r="B277" s="72"/>
    </row>
    <row r="278">
      <c r="B278" s="72"/>
    </row>
    <row r="279">
      <c r="B279" s="72"/>
    </row>
    <row r="280">
      <c r="B280" s="72"/>
    </row>
    <row r="281">
      <c r="B281" s="72"/>
    </row>
    <row r="282">
      <c r="B282" s="72"/>
    </row>
    <row r="283">
      <c r="B283" s="72"/>
    </row>
    <row r="284">
      <c r="B284" s="72"/>
    </row>
    <row r="285">
      <c r="B285" s="72"/>
    </row>
    <row r="286">
      <c r="B286" s="72"/>
    </row>
    <row r="287">
      <c r="B287" s="72"/>
    </row>
    <row r="288">
      <c r="B288" s="72"/>
    </row>
    <row r="289">
      <c r="B289" s="72"/>
    </row>
    <row r="290">
      <c r="B290" s="72"/>
    </row>
    <row r="291">
      <c r="B291" s="72"/>
    </row>
    <row r="292">
      <c r="B292" s="72"/>
    </row>
    <row r="293">
      <c r="B293" s="72"/>
    </row>
    <row r="294">
      <c r="B294" s="72"/>
    </row>
    <row r="295">
      <c r="B295" s="72"/>
    </row>
    <row r="296">
      <c r="B296" s="72"/>
    </row>
    <row r="297">
      <c r="B297" s="72"/>
    </row>
    <row r="298">
      <c r="B298" s="72"/>
    </row>
    <row r="299">
      <c r="B299" s="72"/>
    </row>
    <row r="300">
      <c r="B300" s="72"/>
    </row>
    <row r="301">
      <c r="B301" s="72"/>
    </row>
    <row r="302">
      <c r="B302" s="72"/>
    </row>
    <row r="303">
      <c r="B303" s="72"/>
    </row>
    <row r="304">
      <c r="B304" s="72"/>
    </row>
    <row r="305">
      <c r="B305" s="72"/>
    </row>
    <row r="306">
      <c r="B306" s="72"/>
    </row>
    <row r="307">
      <c r="B307" s="72"/>
    </row>
    <row r="308">
      <c r="B308" s="72"/>
    </row>
    <row r="309">
      <c r="B309" s="72"/>
    </row>
    <row r="310">
      <c r="B310" s="72"/>
    </row>
    <row r="311">
      <c r="B311" s="72"/>
    </row>
    <row r="312">
      <c r="B312" s="72"/>
    </row>
    <row r="313">
      <c r="B313" s="72"/>
    </row>
    <row r="314">
      <c r="B314" s="72"/>
    </row>
    <row r="315">
      <c r="B315" s="72"/>
    </row>
    <row r="316">
      <c r="B316" s="72"/>
    </row>
    <row r="317">
      <c r="B317" s="72"/>
    </row>
    <row r="318">
      <c r="B318" s="72"/>
    </row>
    <row r="319">
      <c r="B319" s="72"/>
    </row>
    <row r="320">
      <c r="B320" s="72"/>
    </row>
    <row r="321">
      <c r="B321" s="72"/>
    </row>
    <row r="322">
      <c r="B322" s="72"/>
    </row>
    <row r="323">
      <c r="B323" s="72"/>
    </row>
    <row r="324">
      <c r="B324" s="72"/>
    </row>
    <row r="325">
      <c r="B325" s="72"/>
    </row>
    <row r="326">
      <c r="B326" s="72"/>
    </row>
    <row r="327">
      <c r="B327" s="72"/>
    </row>
    <row r="328">
      <c r="B328" s="72"/>
    </row>
    <row r="329">
      <c r="B329" s="72"/>
    </row>
    <row r="330">
      <c r="B330" s="72"/>
    </row>
    <row r="331">
      <c r="B331" s="72"/>
    </row>
    <row r="332">
      <c r="B332" s="72"/>
    </row>
    <row r="333">
      <c r="B333" s="72"/>
    </row>
    <row r="334">
      <c r="B334" s="72"/>
    </row>
    <row r="335">
      <c r="B335" s="72"/>
    </row>
    <row r="336">
      <c r="B336" s="72"/>
    </row>
    <row r="337">
      <c r="B337" s="72"/>
    </row>
    <row r="338">
      <c r="B338" s="72"/>
    </row>
    <row r="339">
      <c r="B339" s="72"/>
    </row>
    <row r="340">
      <c r="B340" s="72"/>
    </row>
    <row r="341">
      <c r="B341" s="72"/>
    </row>
    <row r="342">
      <c r="B342" s="72"/>
    </row>
    <row r="343">
      <c r="B343" s="72"/>
    </row>
    <row r="344">
      <c r="B344" s="72"/>
    </row>
    <row r="345">
      <c r="B345" s="72"/>
    </row>
    <row r="346">
      <c r="B346" s="72"/>
    </row>
    <row r="347">
      <c r="B347" s="72"/>
    </row>
    <row r="348">
      <c r="B348" s="72"/>
    </row>
    <row r="349">
      <c r="B349" s="72"/>
    </row>
    <row r="350">
      <c r="B350" s="72"/>
    </row>
    <row r="351">
      <c r="B351" s="72"/>
    </row>
    <row r="352">
      <c r="B352" s="72"/>
    </row>
    <row r="353">
      <c r="B353" s="72"/>
    </row>
    <row r="354">
      <c r="B354" s="72"/>
    </row>
    <row r="355">
      <c r="B355" s="72"/>
    </row>
    <row r="356">
      <c r="B356" s="72"/>
    </row>
    <row r="357">
      <c r="B357" s="72"/>
    </row>
    <row r="358">
      <c r="B358" s="72"/>
    </row>
    <row r="359">
      <c r="B359" s="72"/>
    </row>
    <row r="360">
      <c r="B360" s="72"/>
    </row>
    <row r="361">
      <c r="B361" s="72"/>
    </row>
    <row r="362">
      <c r="B362" s="72"/>
    </row>
    <row r="363">
      <c r="B363" s="72"/>
    </row>
    <row r="364">
      <c r="B364" s="72"/>
    </row>
    <row r="365">
      <c r="B365" s="72"/>
    </row>
    <row r="366">
      <c r="B366" s="72"/>
    </row>
    <row r="367">
      <c r="B367" s="72"/>
    </row>
    <row r="368">
      <c r="B368" s="72"/>
    </row>
    <row r="369">
      <c r="B369" s="72"/>
    </row>
    <row r="370">
      <c r="B370" s="72"/>
    </row>
    <row r="371">
      <c r="B371" s="72"/>
    </row>
    <row r="372">
      <c r="B372" s="72"/>
    </row>
    <row r="373">
      <c r="B373" s="72"/>
    </row>
    <row r="374">
      <c r="B374" s="72"/>
    </row>
    <row r="375">
      <c r="B375" s="72"/>
    </row>
    <row r="376">
      <c r="B376" s="72"/>
    </row>
    <row r="377">
      <c r="B377" s="72"/>
    </row>
    <row r="378">
      <c r="B378" s="72"/>
    </row>
    <row r="379">
      <c r="B379" s="72"/>
    </row>
    <row r="380">
      <c r="B380" s="72"/>
    </row>
    <row r="381">
      <c r="B381" s="72"/>
    </row>
    <row r="382">
      <c r="B382" s="72"/>
    </row>
    <row r="383">
      <c r="B383" s="72"/>
    </row>
    <row r="384">
      <c r="B384" s="72"/>
    </row>
    <row r="385">
      <c r="B385" s="72"/>
    </row>
    <row r="386">
      <c r="B386" s="72"/>
    </row>
    <row r="387">
      <c r="B387" s="72"/>
    </row>
    <row r="388">
      <c r="B388" s="72"/>
    </row>
    <row r="389">
      <c r="B389" s="72"/>
    </row>
    <row r="390">
      <c r="B390" s="72"/>
    </row>
    <row r="391">
      <c r="B391" s="72"/>
    </row>
    <row r="392">
      <c r="B392" s="72"/>
    </row>
    <row r="393">
      <c r="B393" s="72"/>
    </row>
    <row r="394">
      <c r="B394" s="72"/>
    </row>
    <row r="395">
      <c r="B395" s="72"/>
    </row>
    <row r="396">
      <c r="B396" s="72"/>
    </row>
    <row r="397">
      <c r="B397" s="72"/>
    </row>
    <row r="398">
      <c r="B398" s="72"/>
    </row>
    <row r="399">
      <c r="B399" s="72"/>
    </row>
    <row r="400">
      <c r="B400" s="72"/>
    </row>
    <row r="401">
      <c r="B401" s="72"/>
    </row>
    <row r="402">
      <c r="B402" s="72"/>
    </row>
    <row r="403">
      <c r="B403" s="72"/>
    </row>
    <row r="404">
      <c r="B404" s="72"/>
    </row>
    <row r="405">
      <c r="B405" s="72"/>
    </row>
    <row r="406">
      <c r="B406" s="72"/>
    </row>
    <row r="407">
      <c r="B407" s="72"/>
    </row>
    <row r="408">
      <c r="B408" s="72"/>
    </row>
    <row r="409">
      <c r="B409" s="72"/>
    </row>
    <row r="410">
      <c r="B410" s="72"/>
    </row>
    <row r="411">
      <c r="B411" s="72"/>
    </row>
    <row r="412">
      <c r="B412" s="72"/>
    </row>
    <row r="413">
      <c r="B413" s="72"/>
    </row>
    <row r="414">
      <c r="B414" s="72"/>
    </row>
    <row r="415">
      <c r="B415" s="72"/>
    </row>
    <row r="416">
      <c r="B416" s="72"/>
    </row>
    <row r="417">
      <c r="B417" s="72"/>
    </row>
    <row r="418">
      <c r="B418" s="72"/>
    </row>
    <row r="419">
      <c r="B419" s="72"/>
    </row>
    <row r="420">
      <c r="B420" s="72"/>
    </row>
    <row r="421">
      <c r="B421" s="72"/>
    </row>
    <row r="422">
      <c r="B422" s="72"/>
    </row>
    <row r="423">
      <c r="B423" s="72"/>
    </row>
    <row r="424">
      <c r="B424" s="72"/>
    </row>
    <row r="425">
      <c r="B425" s="72"/>
    </row>
    <row r="426">
      <c r="B426" s="72"/>
    </row>
    <row r="427">
      <c r="B427" s="72"/>
    </row>
    <row r="428">
      <c r="B428" s="72"/>
    </row>
    <row r="429">
      <c r="B429" s="72"/>
    </row>
    <row r="430">
      <c r="B430" s="72"/>
    </row>
    <row r="431">
      <c r="B431" s="72"/>
    </row>
    <row r="432">
      <c r="B432" s="72"/>
    </row>
    <row r="433">
      <c r="B433" s="72"/>
    </row>
    <row r="434">
      <c r="B434" s="72"/>
    </row>
    <row r="435">
      <c r="B435" s="72"/>
    </row>
    <row r="436">
      <c r="B436" s="72"/>
    </row>
    <row r="437">
      <c r="B437" s="72"/>
    </row>
    <row r="438">
      <c r="B438" s="72"/>
    </row>
    <row r="439">
      <c r="B439" s="72"/>
    </row>
    <row r="440">
      <c r="B440" s="72"/>
    </row>
    <row r="441">
      <c r="B441" s="72"/>
    </row>
    <row r="442">
      <c r="B442" s="72"/>
    </row>
    <row r="443">
      <c r="B443" s="72"/>
    </row>
    <row r="444">
      <c r="B444" s="72"/>
    </row>
    <row r="445">
      <c r="B445" s="72"/>
    </row>
    <row r="446">
      <c r="B446" s="72"/>
    </row>
    <row r="447">
      <c r="B447" s="72"/>
    </row>
    <row r="448">
      <c r="B448" s="72"/>
    </row>
    <row r="449">
      <c r="B449" s="72"/>
    </row>
    <row r="450">
      <c r="B450" s="72"/>
    </row>
    <row r="451">
      <c r="B451" s="72"/>
    </row>
    <row r="452">
      <c r="B452" s="72"/>
    </row>
    <row r="453">
      <c r="B453" s="72"/>
    </row>
    <row r="454">
      <c r="B454" s="72"/>
    </row>
    <row r="455">
      <c r="B455" s="72"/>
    </row>
    <row r="456">
      <c r="B456" s="72"/>
    </row>
    <row r="457">
      <c r="B457" s="72"/>
    </row>
    <row r="458">
      <c r="B458" s="72"/>
    </row>
    <row r="459">
      <c r="B459" s="72"/>
    </row>
    <row r="460">
      <c r="B460" s="72"/>
    </row>
    <row r="461">
      <c r="B461" s="72"/>
    </row>
    <row r="462">
      <c r="B462" s="72"/>
    </row>
    <row r="463">
      <c r="B463" s="72"/>
    </row>
    <row r="464">
      <c r="B464" s="72"/>
    </row>
    <row r="465">
      <c r="B465" s="72"/>
    </row>
    <row r="466">
      <c r="B466" s="72"/>
    </row>
    <row r="467">
      <c r="B467" s="72"/>
    </row>
    <row r="468">
      <c r="B468" s="72"/>
    </row>
    <row r="469">
      <c r="B469" s="72"/>
    </row>
    <row r="470">
      <c r="B470" s="72"/>
    </row>
    <row r="471">
      <c r="B471" s="72"/>
    </row>
    <row r="472">
      <c r="B472" s="72"/>
    </row>
    <row r="473">
      <c r="B473" s="72"/>
    </row>
    <row r="474">
      <c r="B474" s="72"/>
    </row>
    <row r="475">
      <c r="B475" s="72"/>
    </row>
    <row r="476">
      <c r="B476" s="72"/>
    </row>
    <row r="477">
      <c r="B477" s="72"/>
    </row>
    <row r="478">
      <c r="B478" s="72"/>
    </row>
    <row r="479">
      <c r="B479" s="72"/>
    </row>
    <row r="480">
      <c r="B480" s="72"/>
    </row>
    <row r="481">
      <c r="B481" s="72"/>
    </row>
    <row r="482">
      <c r="B482" s="72"/>
    </row>
    <row r="483">
      <c r="B483" s="72"/>
    </row>
    <row r="484">
      <c r="B484" s="72"/>
    </row>
    <row r="485">
      <c r="B485" s="72"/>
    </row>
    <row r="486">
      <c r="B486" s="72"/>
    </row>
    <row r="487">
      <c r="B487" s="72"/>
    </row>
    <row r="488">
      <c r="B488" s="72"/>
    </row>
    <row r="489">
      <c r="B489" s="72"/>
    </row>
    <row r="490">
      <c r="B490" s="72"/>
    </row>
    <row r="491">
      <c r="B491" s="72"/>
    </row>
    <row r="492">
      <c r="B492" s="72"/>
    </row>
    <row r="493">
      <c r="B493" s="72"/>
    </row>
    <row r="494">
      <c r="B494" s="72"/>
    </row>
    <row r="495">
      <c r="B495" s="72"/>
    </row>
    <row r="496">
      <c r="B496" s="72"/>
    </row>
    <row r="497">
      <c r="B497" s="72"/>
    </row>
    <row r="498">
      <c r="B498" s="72"/>
    </row>
    <row r="499">
      <c r="B499" s="72"/>
    </row>
    <row r="500">
      <c r="B500" s="72"/>
    </row>
    <row r="501">
      <c r="B501" s="72"/>
    </row>
    <row r="502">
      <c r="B502" s="72"/>
    </row>
    <row r="503">
      <c r="B503" s="72"/>
    </row>
    <row r="504">
      <c r="B504" s="72"/>
    </row>
    <row r="505">
      <c r="B505" s="72"/>
    </row>
    <row r="506">
      <c r="B506" s="72"/>
    </row>
    <row r="507">
      <c r="B507" s="72"/>
    </row>
    <row r="508">
      <c r="B508" s="72"/>
    </row>
    <row r="509">
      <c r="B509" s="72"/>
    </row>
    <row r="510">
      <c r="B510" s="72"/>
    </row>
    <row r="511">
      <c r="B511" s="72"/>
    </row>
    <row r="512">
      <c r="B512" s="72"/>
    </row>
    <row r="513">
      <c r="B513" s="72"/>
    </row>
    <row r="514">
      <c r="B514" s="72"/>
    </row>
    <row r="515">
      <c r="B515" s="72"/>
    </row>
    <row r="516">
      <c r="B516" s="72"/>
    </row>
    <row r="517">
      <c r="B517" s="72"/>
    </row>
    <row r="518">
      <c r="B518" s="72"/>
    </row>
    <row r="519">
      <c r="B519" s="72"/>
    </row>
    <row r="520">
      <c r="B520" s="72"/>
    </row>
    <row r="521">
      <c r="B521" s="72"/>
    </row>
    <row r="522">
      <c r="B522" s="72"/>
    </row>
    <row r="523">
      <c r="B523" s="72"/>
    </row>
    <row r="524">
      <c r="B524" s="72"/>
    </row>
    <row r="525">
      <c r="B525" s="72"/>
    </row>
    <row r="526">
      <c r="B526" s="72"/>
    </row>
    <row r="527">
      <c r="B527" s="72"/>
    </row>
    <row r="528">
      <c r="B528" s="72"/>
    </row>
    <row r="529">
      <c r="B529" s="72"/>
    </row>
    <row r="530">
      <c r="B530" s="72"/>
    </row>
    <row r="531">
      <c r="B531" s="72"/>
    </row>
    <row r="532">
      <c r="B532" s="72"/>
    </row>
    <row r="533">
      <c r="B533" s="72"/>
    </row>
    <row r="534">
      <c r="B534" s="72"/>
    </row>
    <row r="535">
      <c r="B535" s="72"/>
    </row>
    <row r="536">
      <c r="B536" s="72"/>
    </row>
    <row r="537">
      <c r="B537" s="72"/>
    </row>
    <row r="538">
      <c r="B538" s="72"/>
    </row>
    <row r="539">
      <c r="B539" s="72"/>
    </row>
    <row r="540">
      <c r="B540" s="72"/>
    </row>
    <row r="541">
      <c r="B541" s="72"/>
    </row>
    <row r="542">
      <c r="B542" s="72"/>
    </row>
    <row r="543">
      <c r="B543" s="72"/>
    </row>
    <row r="544">
      <c r="B544" s="72"/>
    </row>
    <row r="545">
      <c r="B545" s="72"/>
    </row>
    <row r="546">
      <c r="B546" s="72"/>
    </row>
    <row r="547">
      <c r="B547" s="72"/>
    </row>
    <row r="548">
      <c r="B548" s="72"/>
    </row>
    <row r="549">
      <c r="B549" s="72"/>
    </row>
    <row r="550">
      <c r="B550" s="72"/>
    </row>
    <row r="551">
      <c r="B551" s="72"/>
    </row>
    <row r="552">
      <c r="B552" s="72"/>
    </row>
    <row r="553">
      <c r="B553" s="72"/>
    </row>
    <row r="554">
      <c r="B554" s="72"/>
    </row>
    <row r="555">
      <c r="B555" s="72"/>
    </row>
    <row r="556">
      <c r="B556" s="72"/>
    </row>
    <row r="557">
      <c r="B557" s="72"/>
    </row>
    <row r="558">
      <c r="B558" s="72"/>
    </row>
    <row r="559">
      <c r="B559" s="72"/>
    </row>
    <row r="560">
      <c r="B560" s="72"/>
    </row>
    <row r="561">
      <c r="B561" s="72"/>
    </row>
    <row r="562">
      <c r="B562" s="72"/>
    </row>
    <row r="563">
      <c r="B563" s="72"/>
    </row>
    <row r="564">
      <c r="B564" s="72"/>
    </row>
    <row r="565">
      <c r="B565" s="72"/>
    </row>
    <row r="566">
      <c r="B566" s="72"/>
    </row>
    <row r="567">
      <c r="B567" s="72"/>
    </row>
    <row r="568">
      <c r="B568" s="72"/>
    </row>
    <row r="569">
      <c r="B569" s="72"/>
    </row>
    <row r="570">
      <c r="B570" s="72"/>
    </row>
    <row r="571">
      <c r="B571" s="72"/>
    </row>
    <row r="572">
      <c r="B572" s="72"/>
    </row>
    <row r="573">
      <c r="B573" s="72"/>
    </row>
    <row r="574">
      <c r="B574" s="72"/>
    </row>
    <row r="575">
      <c r="B575" s="72"/>
    </row>
    <row r="576">
      <c r="B576" s="72"/>
    </row>
    <row r="577">
      <c r="B577" s="72"/>
    </row>
    <row r="578">
      <c r="B578" s="72"/>
    </row>
    <row r="579">
      <c r="B579" s="72"/>
    </row>
    <row r="580">
      <c r="B580" s="72"/>
    </row>
    <row r="581">
      <c r="B581" s="72"/>
    </row>
    <row r="582">
      <c r="B582" s="72"/>
    </row>
    <row r="583">
      <c r="B583" s="72"/>
    </row>
    <row r="584">
      <c r="B584" s="72"/>
    </row>
    <row r="585">
      <c r="B585" s="72"/>
    </row>
    <row r="586">
      <c r="B586" s="72"/>
    </row>
    <row r="587">
      <c r="B587" s="72"/>
    </row>
    <row r="588">
      <c r="B588" s="72"/>
    </row>
    <row r="589">
      <c r="B589" s="72"/>
    </row>
    <row r="590">
      <c r="B590" s="72"/>
    </row>
    <row r="591">
      <c r="B591" s="72"/>
    </row>
    <row r="592">
      <c r="B592" s="72"/>
    </row>
    <row r="593">
      <c r="B593" s="72"/>
    </row>
    <row r="594">
      <c r="B594" s="72"/>
    </row>
    <row r="595">
      <c r="B595" s="72"/>
    </row>
    <row r="596">
      <c r="B596" s="72"/>
    </row>
    <row r="597">
      <c r="B597" s="72"/>
    </row>
    <row r="598">
      <c r="B598" s="72"/>
    </row>
    <row r="599">
      <c r="B599" s="72"/>
    </row>
    <row r="600">
      <c r="B600" s="72"/>
    </row>
    <row r="601">
      <c r="B601" s="72"/>
    </row>
    <row r="602">
      <c r="B602" s="72"/>
    </row>
    <row r="603">
      <c r="B603" s="72"/>
    </row>
    <row r="604">
      <c r="B604" s="72"/>
    </row>
    <row r="605">
      <c r="B605" s="72"/>
    </row>
    <row r="606">
      <c r="B606" s="72"/>
    </row>
    <row r="607">
      <c r="B607" s="72"/>
    </row>
    <row r="608">
      <c r="B608" s="72"/>
    </row>
    <row r="609">
      <c r="B609" s="72"/>
    </row>
    <row r="610">
      <c r="B610" s="72"/>
    </row>
    <row r="611">
      <c r="B611" s="72"/>
    </row>
    <row r="612">
      <c r="B612" s="72"/>
    </row>
    <row r="613">
      <c r="B613" s="72"/>
    </row>
    <row r="614">
      <c r="B614" s="72"/>
    </row>
    <row r="615">
      <c r="B615" s="72"/>
    </row>
    <row r="616">
      <c r="B616" s="72"/>
    </row>
    <row r="617">
      <c r="B617" s="72"/>
    </row>
    <row r="618">
      <c r="B618" s="72"/>
    </row>
    <row r="619">
      <c r="B619" s="72"/>
    </row>
    <row r="620">
      <c r="B620" s="72"/>
    </row>
    <row r="621">
      <c r="B621" s="72"/>
    </row>
    <row r="622">
      <c r="B622" s="72"/>
    </row>
    <row r="623">
      <c r="B623" s="72"/>
    </row>
    <row r="624">
      <c r="B624" s="72"/>
    </row>
    <row r="625">
      <c r="B625" s="72"/>
    </row>
    <row r="626">
      <c r="B626" s="72"/>
    </row>
    <row r="627">
      <c r="B627" s="72"/>
    </row>
    <row r="628">
      <c r="B628" s="72"/>
    </row>
    <row r="629">
      <c r="B629" s="72"/>
    </row>
    <row r="630">
      <c r="B630" s="72"/>
    </row>
    <row r="631">
      <c r="B631" s="72"/>
    </row>
    <row r="632">
      <c r="B632" s="72"/>
    </row>
    <row r="633">
      <c r="B633" s="72"/>
    </row>
    <row r="634">
      <c r="B634" s="72"/>
    </row>
    <row r="635">
      <c r="B635" s="72"/>
    </row>
    <row r="636">
      <c r="B636" s="72"/>
    </row>
    <row r="637">
      <c r="B637" s="72"/>
    </row>
    <row r="638">
      <c r="B638" s="72"/>
    </row>
    <row r="639">
      <c r="B639" s="72"/>
    </row>
    <row r="640">
      <c r="B640" s="72"/>
    </row>
    <row r="641">
      <c r="B641" s="72"/>
    </row>
    <row r="642">
      <c r="B642" s="72"/>
    </row>
    <row r="643">
      <c r="B643" s="72"/>
    </row>
    <row r="644">
      <c r="B644" s="72"/>
    </row>
    <row r="645">
      <c r="B645" s="72"/>
    </row>
    <row r="646">
      <c r="B646" s="72"/>
    </row>
    <row r="647">
      <c r="B647" s="72"/>
    </row>
    <row r="648">
      <c r="B648" s="72"/>
    </row>
    <row r="649">
      <c r="B649" s="72"/>
    </row>
    <row r="650">
      <c r="B650" s="72"/>
    </row>
    <row r="651">
      <c r="B651" s="72"/>
    </row>
    <row r="652">
      <c r="B652" s="72"/>
    </row>
    <row r="653">
      <c r="B653" s="72"/>
    </row>
    <row r="654">
      <c r="B654" s="72"/>
    </row>
    <row r="655">
      <c r="B655" s="72"/>
    </row>
    <row r="656">
      <c r="B656" s="72"/>
    </row>
    <row r="657">
      <c r="B657" s="72"/>
    </row>
    <row r="658">
      <c r="B658" s="72"/>
    </row>
    <row r="659">
      <c r="B659" s="72"/>
    </row>
    <row r="660">
      <c r="B660" s="72"/>
    </row>
    <row r="661">
      <c r="B661" s="72"/>
    </row>
    <row r="662">
      <c r="B662" s="72"/>
    </row>
    <row r="663">
      <c r="B663" s="72"/>
    </row>
    <row r="664">
      <c r="B664" s="72"/>
    </row>
    <row r="665">
      <c r="B665" s="72"/>
    </row>
    <row r="666">
      <c r="B666" s="72"/>
    </row>
    <row r="667">
      <c r="B667" s="72"/>
    </row>
    <row r="668">
      <c r="B668" s="72"/>
    </row>
    <row r="669">
      <c r="B669" s="72"/>
    </row>
    <row r="670">
      <c r="B670" s="72"/>
    </row>
    <row r="671">
      <c r="B671" s="72"/>
    </row>
    <row r="672">
      <c r="B672" s="72"/>
    </row>
    <row r="673">
      <c r="B673" s="72"/>
    </row>
    <row r="674">
      <c r="B674" s="72"/>
    </row>
    <row r="675">
      <c r="B675" s="72"/>
    </row>
    <row r="676">
      <c r="B676" s="72"/>
    </row>
    <row r="677">
      <c r="B677" s="72"/>
    </row>
    <row r="678">
      <c r="B678" s="72"/>
    </row>
    <row r="679">
      <c r="B679" s="72"/>
    </row>
    <row r="680">
      <c r="B680" s="72"/>
    </row>
    <row r="681">
      <c r="B681" s="72"/>
    </row>
    <row r="682">
      <c r="B682" s="72"/>
    </row>
    <row r="683">
      <c r="B683" s="72"/>
    </row>
    <row r="684">
      <c r="B684" s="72"/>
    </row>
    <row r="685">
      <c r="B685" s="72"/>
    </row>
    <row r="686">
      <c r="B686" s="72"/>
    </row>
    <row r="687">
      <c r="B687" s="72"/>
    </row>
    <row r="688">
      <c r="B688" s="72"/>
    </row>
    <row r="689">
      <c r="B689" s="72"/>
    </row>
    <row r="690">
      <c r="B690" s="72"/>
    </row>
    <row r="691">
      <c r="B691" s="72"/>
    </row>
    <row r="692">
      <c r="B692" s="72"/>
    </row>
    <row r="693">
      <c r="B693" s="72"/>
    </row>
    <row r="694">
      <c r="B694" s="72"/>
    </row>
    <row r="695">
      <c r="B695" s="72"/>
    </row>
    <row r="696">
      <c r="B696" s="72"/>
    </row>
    <row r="697">
      <c r="B697" s="72"/>
    </row>
    <row r="698">
      <c r="B698" s="72"/>
    </row>
    <row r="699">
      <c r="B699" s="72"/>
    </row>
    <row r="700">
      <c r="B700" s="72"/>
    </row>
    <row r="701">
      <c r="B701" s="72"/>
    </row>
    <row r="702">
      <c r="B702" s="72"/>
    </row>
    <row r="703">
      <c r="B703" s="72"/>
    </row>
    <row r="704">
      <c r="B704" s="72"/>
    </row>
    <row r="705">
      <c r="B705" s="72"/>
    </row>
    <row r="706">
      <c r="B706" s="72"/>
    </row>
    <row r="707">
      <c r="B707" s="72"/>
    </row>
    <row r="708">
      <c r="B708" s="72"/>
    </row>
    <row r="709">
      <c r="B709" s="72"/>
    </row>
    <row r="710">
      <c r="B710" s="72"/>
    </row>
    <row r="711">
      <c r="B711" s="72"/>
    </row>
    <row r="712">
      <c r="B712" s="72"/>
    </row>
    <row r="713">
      <c r="B713" s="72"/>
    </row>
    <row r="714">
      <c r="B714" s="72"/>
    </row>
    <row r="715">
      <c r="B715" s="72"/>
    </row>
    <row r="716">
      <c r="B716" s="72"/>
    </row>
    <row r="717">
      <c r="B717" s="72"/>
    </row>
    <row r="718">
      <c r="B718" s="72"/>
    </row>
    <row r="719">
      <c r="B719" s="72"/>
    </row>
    <row r="720">
      <c r="B720" s="72"/>
    </row>
    <row r="721">
      <c r="B721" s="72"/>
    </row>
    <row r="722">
      <c r="B722" s="72"/>
    </row>
    <row r="723">
      <c r="B723" s="72"/>
    </row>
    <row r="724">
      <c r="B724" s="72"/>
    </row>
    <row r="725">
      <c r="B725" s="72"/>
    </row>
    <row r="726">
      <c r="B726" s="72"/>
    </row>
    <row r="727">
      <c r="B727" s="72"/>
    </row>
    <row r="728">
      <c r="B728" s="72"/>
    </row>
    <row r="729">
      <c r="B729" s="72"/>
    </row>
    <row r="730">
      <c r="B730" s="72"/>
    </row>
    <row r="731">
      <c r="B731" s="72"/>
    </row>
    <row r="732">
      <c r="B732" s="72"/>
    </row>
    <row r="733">
      <c r="B733" s="72"/>
    </row>
    <row r="734">
      <c r="B734" s="72"/>
    </row>
    <row r="735">
      <c r="B735" s="72"/>
    </row>
    <row r="736">
      <c r="B736" s="72"/>
    </row>
    <row r="737">
      <c r="B737" s="72"/>
    </row>
    <row r="738">
      <c r="B738" s="72"/>
    </row>
    <row r="739">
      <c r="B739" s="72"/>
    </row>
    <row r="740">
      <c r="B740" s="72"/>
    </row>
    <row r="741">
      <c r="B741" s="72"/>
    </row>
    <row r="742">
      <c r="B742" s="72"/>
    </row>
    <row r="743">
      <c r="B743" s="72"/>
    </row>
    <row r="744">
      <c r="B744" s="72"/>
    </row>
    <row r="745">
      <c r="B745" s="72"/>
    </row>
    <row r="746">
      <c r="B746" s="72"/>
    </row>
    <row r="747">
      <c r="B747" s="72"/>
    </row>
    <row r="748">
      <c r="B748" s="72"/>
    </row>
    <row r="749">
      <c r="B749" s="72"/>
    </row>
    <row r="750">
      <c r="B750" s="72"/>
    </row>
    <row r="751">
      <c r="B751" s="72"/>
    </row>
    <row r="752">
      <c r="B752" s="72"/>
    </row>
    <row r="753">
      <c r="B753" s="72"/>
    </row>
    <row r="754">
      <c r="B754" s="72"/>
    </row>
    <row r="755">
      <c r="B755" s="72"/>
    </row>
    <row r="756">
      <c r="B756" s="72"/>
    </row>
    <row r="757">
      <c r="B757" s="72"/>
    </row>
    <row r="758">
      <c r="B758" s="72"/>
    </row>
    <row r="759">
      <c r="B759" s="72"/>
    </row>
    <row r="760">
      <c r="B760" s="72"/>
    </row>
    <row r="761">
      <c r="B761" s="72"/>
    </row>
    <row r="762">
      <c r="B762" s="72"/>
    </row>
    <row r="763">
      <c r="B763" s="72"/>
    </row>
    <row r="764">
      <c r="B764" s="72"/>
    </row>
    <row r="765">
      <c r="B765" s="72"/>
    </row>
    <row r="766">
      <c r="B766" s="72"/>
    </row>
    <row r="767">
      <c r="B767" s="72"/>
    </row>
    <row r="768">
      <c r="B768" s="72"/>
    </row>
    <row r="769">
      <c r="B769" s="72"/>
    </row>
    <row r="770">
      <c r="B770" s="72"/>
    </row>
    <row r="771">
      <c r="B771" s="72"/>
    </row>
    <row r="772">
      <c r="B772" s="72"/>
    </row>
    <row r="773">
      <c r="B773" s="72"/>
    </row>
    <row r="774">
      <c r="B774" s="72"/>
    </row>
    <row r="775">
      <c r="B775" s="72"/>
    </row>
    <row r="776">
      <c r="B776" s="72"/>
    </row>
    <row r="777">
      <c r="B777" s="72"/>
    </row>
    <row r="778">
      <c r="B778" s="72"/>
    </row>
    <row r="779">
      <c r="B779" s="72"/>
    </row>
    <row r="780">
      <c r="B780" s="72"/>
    </row>
    <row r="781">
      <c r="B781" s="72"/>
    </row>
    <row r="782">
      <c r="B782" s="72"/>
    </row>
    <row r="783">
      <c r="B783" s="72"/>
    </row>
    <row r="784">
      <c r="B784" s="72"/>
    </row>
    <row r="785">
      <c r="B785" s="72"/>
    </row>
    <row r="786">
      <c r="B786" s="72"/>
    </row>
    <row r="787">
      <c r="B787" s="72"/>
    </row>
    <row r="788">
      <c r="B788" s="72"/>
    </row>
    <row r="789">
      <c r="B789" s="72"/>
    </row>
    <row r="790">
      <c r="B790" s="72"/>
    </row>
    <row r="791">
      <c r="B791" s="72"/>
    </row>
    <row r="792">
      <c r="B792" s="72"/>
    </row>
    <row r="793">
      <c r="B793" s="72"/>
    </row>
    <row r="794">
      <c r="B794" s="72"/>
    </row>
    <row r="795">
      <c r="B795" s="72"/>
    </row>
    <row r="796">
      <c r="B796" s="72"/>
    </row>
    <row r="797">
      <c r="B797" s="72"/>
    </row>
    <row r="798">
      <c r="B798" s="72"/>
    </row>
    <row r="799">
      <c r="B799" s="72"/>
    </row>
    <row r="800">
      <c r="B800" s="72"/>
    </row>
    <row r="801">
      <c r="B801" s="72"/>
    </row>
    <row r="802">
      <c r="B802" s="72"/>
    </row>
    <row r="803">
      <c r="B803" s="72"/>
    </row>
    <row r="804">
      <c r="B804" s="72"/>
    </row>
    <row r="805">
      <c r="B805" s="72"/>
    </row>
    <row r="806">
      <c r="B806" s="72"/>
    </row>
    <row r="807">
      <c r="B807" s="72"/>
    </row>
    <row r="808">
      <c r="B808" s="72"/>
    </row>
    <row r="809">
      <c r="B809" s="72"/>
    </row>
    <row r="810">
      <c r="B810" s="72"/>
    </row>
    <row r="811">
      <c r="B811" s="72"/>
    </row>
    <row r="812">
      <c r="B812" s="72"/>
    </row>
    <row r="813">
      <c r="B813" s="72"/>
    </row>
    <row r="814">
      <c r="B814" s="72"/>
    </row>
    <row r="815">
      <c r="B815" s="72"/>
    </row>
    <row r="816">
      <c r="B816" s="72"/>
    </row>
    <row r="817">
      <c r="B817" s="72"/>
    </row>
    <row r="818">
      <c r="B818" s="72"/>
    </row>
    <row r="819">
      <c r="B819" s="72"/>
    </row>
    <row r="820">
      <c r="B820" s="72"/>
    </row>
    <row r="821">
      <c r="B821" s="72"/>
    </row>
    <row r="822">
      <c r="B822" s="72"/>
    </row>
    <row r="823">
      <c r="B823" s="72"/>
    </row>
    <row r="824">
      <c r="B824" s="72"/>
    </row>
    <row r="825">
      <c r="B825" s="72"/>
    </row>
    <row r="826">
      <c r="B826" s="72"/>
    </row>
    <row r="827">
      <c r="B827" s="72"/>
    </row>
    <row r="828">
      <c r="B828" s="72"/>
    </row>
    <row r="829">
      <c r="B829" s="72"/>
    </row>
    <row r="830">
      <c r="B830" s="72"/>
    </row>
    <row r="831">
      <c r="B831" s="72"/>
    </row>
    <row r="832">
      <c r="B832" s="72"/>
    </row>
    <row r="833">
      <c r="B833" s="72"/>
    </row>
    <row r="834">
      <c r="B834" s="72"/>
    </row>
    <row r="835">
      <c r="B835" s="72"/>
    </row>
    <row r="836">
      <c r="B836" s="72"/>
    </row>
    <row r="837">
      <c r="B837" s="72"/>
    </row>
    <row r="838">
      <c r="B838" s="72"/>
    </row>
    <row r="839">
      <c r="B839" s="72"/>
    </row>
    <row r="840">
      <c r="B840" s="72"/>
    </row>
    <row r="841">
      <c r="B841" s="72"/>
    </row>
    <row r="842">
      <c r="B842" s="72"/>
    </row>
    <row r="843">
      <c r="B843" s="72"/>
    </row>
    <row r="844">
      <c r="B844" s="72"/>
    </row>
    <row r="845">
      <c r="B845" s="72"/>
    </row>
    <row r="846">
      <c r="B846" s="72"/>
    </row>
    <row r="847">
      <c r="B847" s="72"/>
    </row>
    <row r="848">
      <c r="B848" s="72"/>
    </row>
    <row r="849">
      <c r="B849" s="72"/>
    </row>
    <row r="850">
      <c r="B850" s="72"/>
    </row>
    <row r="851">
      <c r="B851" s="72"/>
    </row>
    <row r="852">
      <c r="B852" s="72"/>
    </row>
    <row r="853">
      <c r="B853" s="72"/>
    </row>
    <row r="854">
      <c r="B854" s="72"/>
    </row>
    <row r="855">
      <c r="B855" s="72"/>
    </row>
    <row r="856">
      <c r="B856" s="72"/>
    </row>
    <row r="857">
      <c r="B857" s="72"/>
    </row>
    <row r="858">
      <c r="B858" s="72"/>
    </row>
    <row r="859">
      <c r="B859" s="72"/>
    </row>
    <row r="860">
      <c r="B860" s="72"/>
    </row>
    <row r="861">
      <c r="B861" s="72"/>
    </row>
    <row r="862">
      <c r="B862" s="72"/>
    </row>
    <row r="863">
      <c r="B863" s="72"/>
    </row>
    <row r="864">
      <c r="B864" s="72"/>
    </row>
    <row r="865">
      <c r="B865" s="72"/>
    </row>
    <row r="866">
      <c r="B866" s="72"/>
    </row>
    <row r="867">
      <c r="B867" s="72"/>
    </row>
    <row r="868">
      <c r="B868" s="72"/>
    </row>
    <row r="869">
      <c r="B869" s="72"/>
    </row>
    <row r="870">
      <c r="B870" s="72"/>
    </row>
    <row r="871">
      <c r="B871" s="72"/>
    </row>
    <row r="872">
      <c r="B872" s="72"/>
    </row>
    <row r="873">
      <c r="B873" s="72"/>
    </row>
    <row r="874">
      <c r="B874" s="72"/>
    </row>
    <row r="875">
      <c r="B875" s="72"/>
    </row>
    <row r="876">
      <c r="B876" s="72"/>
    </row>
    <row r="877">
      <c r="B877" s="72"/>
    </row>
    <row r="878">
      <c r="B878" s="72"/>
    </row>
    <row r="879">
      <c r="B879" s="72"/>
    </row>
    <row r="880">
      <c r="B880" s="72"/>
    </row>
    <row r="881">
      <c r="B881" s="72"/>
    </row>
    <row r="882">
      <c r="B882" s="72"/>
    </row>
    <row r="883">
      <c r="B883" s="72"/>
    </row>
    <row r="884">
      <c r="B884" s="72"/>
    </row>
    <row r="885">
      <c r="B885" s="72"/>
    </row>
    <row r="886">
      <c r="B886" s="72"/>
    </row>
    <row r="887">
      <c r="B887" s="72"/>
    </row>
    <row r="888">
      <c r="B888" s="72"/>
    </row>
    <row r="889">
      <c r="B889" s="72"/>
    </row>
    <row r="890">
      <c r="B890" s="72"/>
    </row>
    <row r="891">
      <c r="B891" s="72"/>
    </row>
    <row r="892">
      <c r="B892" s="72"/>
    </row>
    <row r="893">
      <c r="B893" s="72"/>
    </row>
    <row r="894">
      <c r="B894" s="72"/>
    </row>
    <row r="895">
      <c r="B895" s="72"/>
    </row>
    <row r="896">
      <c r="B896" s="72"/>
    </row>
    <row r="897">
      <c r="B897" s="72"/>
    </row>
    <row r="898">
      <c r="B898" s="72"/>
    </row>
    <row r="899">
      <c r="B899" s="72"/>
    </row>
    <row r="900">
      <c r="B900" s="72"/>
    </row>
    <row r="901">
      <c r="B901" s="72"/>
    </row>
    <row r="902">
      <c r="B902" s="72"/>
    </row>
    <row r="903">
      <c r="B903" s="72"/>
    </row>
    <row r="904">
      <c r="B904" s="72"/>
    </row>
    <row r="905">
      <c r="B905" s="72"/>
    </row>
    <row r="906">
      <c r="B906" s="72"/>
    </row>
    <row r="907">
      <c r="B907" s="72"/>
    </row>
    <row r="908">
      <c r="B908" s="72"/>
    </row>
    <row r="909">
      <c r="B909" s="72"/>
    </row>
    <row r="910">
      <c r="B910" s="72"/>
    </row>
    <row r="911">
      <c r="B911" s="72"/>
    </row>
    <row r="912">
      <c r="B912" s="72"/>
    </row>
    <row r="913">
      <c r="B913" s="72"/>
    </row>
    <row r="914">
      <c r="B914" s="72"/>
    </row>
    <row r="915">
      <c r="B915" s="72"/>
    </row>
    <row r="916">
      <c r="B916" s="72"/>
    </row>
    <row r="917">
      <c r="B917" s="72"/>
    </row>
    <row r="918">
      <c r="B918" s="72"/>
    </row>
    <row r="919">
      <c r="B919" s="72"/>
    </row>
    <row r="920">
      <c r="B920" s="72"/>
    </row>
    <row r="921">
      <c r="B921" s="72"/>
    </row>
    <row r="922">
      <c r="B922" s="72"/>
    </row>
    <row r="923">
      <c r="B923" s="72"/>
    </row>
    <row r="924">
      <c r="B924" s="72"/>
    </row>
    <row r="925">
      <c r="B925" s="72"/>
    </row>
    <row r="926">
      <c r="B926" s="72"/>
    </row>
    <row r="927">
      <c r="B927" s="72"/>
    </row>
    <row r="928">
      <c r="B928" s="72"/>
    </row>
    <row r="929">
      <c r="B929" s="72"/>
    </row>
    <row r="930">
      <c r="B930" s="72"/>
    </row>
    <row r="931">
      <c r="B931" s="72"/>
    </row>
    <row r="932">
      <c r="B932" s="72"/>
    </row>
    <row r="933">
      <c r="B933" s="72"/>
    </row>
    <row r="934">
      <c r="B934" s="72"/>
    </row>
    <row r="935">
      <c r="B935" s="72"/>
    </row>
    <row r="936">
      <c r="B936" s="72"/>
    </row>
    <row r="937">
      <c r="B937" s="72"/>
    </row>
    <row r="938">
      <c r="B938" s="72"/>
    </row>
    <row r="939">
      <c r="B939" s="72"/>
    </row>
    <row r="940">
      <c r="B940" s="72"/>
    </row>
    <row r="941">
      <c r="B941" s="72"/>
    </row>
    <row r="942">
      <c r="B942" s="72"/>
    </row>
    <row r="943">
      <c r="B943" s="72"/>
    </row>
    <row r="944">
      <c r="B944" s="72"/>
    </row>
    <row r="945">
      <c r="B945" s="72"/>
    </row>
    <row r="946">
      <c r="B946" s="72"/>
    </row>
    <row r="947">
      <c r="B947" s="72"/>
    </row>
    <row r="948">
      <c r="B948" s="72"/>
    </row>
    <row r="949">
      <c r="B949" s="72"/>
    </row>
    <row r="950">
      <c r="B950" s="72"/>
    </row>
    <row r="951">
      <c r="B951" s="72"/>
    </row>
    <row r="952">
      <c r="B952" s="72"/>
    </row>
    <row r="953">
      <c r="B953" s="72"/>
    </row>
    <row r="954">
      <c r="B954" s="72"/>
    </row>
    <row r="955">
      <c r="B955" s="72"/>
    </row>
    <row r="956">
      <c r="B956" s="72"/>
    </row>
    <row r="957">
      <c r="B957" s="72"/>
    </row>
    <row r="958">
      <c r="B958" s="72"/>
    </row>
    <row r="959">
      <c r="B959" s="72"/>
    </row>
    <row r="960">
      <c r="B960" s="72"/>
    </row>
  </sheetData>
  <autoFilter ref="$A$2:$B$42"/>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2.38"/>
    <col customWidth="1" min="3" max="3" width="74.25"/>
  </cols>
  <sheetData>
    <row r="1">
      <c r="A1" s="73" t="s">
        <v>485</v>
      </c>
      <c r="B1" s="73" t="s">
        <v>486</v>
      </c>
      <c r="C1" s="73" t="s">
        <v>487</v>
      </c>
      <c r="D1" s="14"/>
    </row>
    <row r="2">
      <c r="A2" s="74">
        <v>45033.813969317125</v>
      </c>
      <c r="B2" s="14" t="s">
        <v>488</v>
      </c>
      <c r="C2" s="14" t="s">
        <v>489</v>
      </c>
      <c r="D2" s="14"/>
    </row>
    <row r="3">
      <c r="A3" s="74">
        <v>45033.81612296296</v>
      </c>
      <c r="B3" s="14" t="s">
        <v>490</v>
      </c>
      <c r="C3" s="75" t="s">
        <v>58</v>
      </c>
      <c r="D3" s="14"/>
    </row>
    <row r="4">
      <c r="A4" s="74">
        <v>45033.83867511574</v>
      </c>
      <c r="B4" s="14" t="s">
        <v>491</v>
      </c>
      <c r="C4" s="14" t="s">
        <v>492</v>
      </c>
      <c r="D4" s="14"/>
    </row>
    <row r="5">
      <c r="A5" s="74">
        <v>45036.54615465278</v>
      </c>
      <c r="B5" s="14" t="s">
        <v>493</v>
      </c>
      <c r="C5" s="75" t="s">
        <v>58</v>
      </c>
      <c r="D5" s="14"/>
    </row>
    <row r="6">
      <c r="A6" s="74">
        <v>45044.6032834375</v>
      </c>
      <c r="B6" s="14" t="s">
        <v>494</v>
      </c>
      <c r="C6" s="14" t="s">
        <v>489</v>
      </c>
      <c r="D6" s="14"/>
    </row>
    <row r="7">
      <c r="A7" s="74">
        <v>45045.556302997684</v>
      </c>
      <c r="B7" s="14" t="s">
        <v>495</v>
      </c>
      <c r="C7" s="14" t="s">
        <v>496</v>
      </c>
      <c r="D7" s="14"/>
    </row>
    <row r="8">
      <c r="A8" s="74">
        <v>45045.57898898148</v>
      </c>
      <c r="B8" s="14" t="s">
        <v>497</v>
      </c>
      <c r="C8" s="14" t="s">
        <v>489</v>
      </c>
      <c r="D8" s="14"/>
    </row>
    <row r="9">
      <c r="A9" s="74">
        <v>45045.85921369213</v>
      </c>
      <c r="B9" s="14" t="s">
        <v>498</v>
      </c>
      <c r="C9" s="14" t="s">
        <v>10</v>
      </c>
      <c r="D9" s="14"/>
    </row>
    <row r="10">
      <c r="A10" s="74">
        <v>45046.544518553244</v>
      </c>
      <c r="B10" s="14" t="s">
        <v>499</v>
      </c>
      <c r="C10" s="75" t="s">
        <v>58</v>
      </c>
      <c r="D10" s="14"/>
    </row>
    <row r="11">
      <c r="A11" s="74">
        <v>45046.593794872686</v>
      </c>
      <c r="B11" s="14" t="s">
        <v>500</v>
      </c>
      <c r="C11" s="14" t="s">
        <v>489</v>
      </c>
      <c r="D11" s="14"/>
    </row>
    <row r="12">
      <c r="A12" s="74">
        <v>45047.564749745376</v>
      </c>
      <c r="B12" s="14" t="s">
        <v>501</v>
      </c>
      <c r="C12" s="14" t="s">
        <v>29</v>
      </c>
      <c r="D12" s="14"/>
    </row>
    <row r="13">
      <c r="A13" s="74">
        <v>45047.62485854166</v>
      </c>
      <c r="B13" s="14" t="s">
        <v>502</v>
      </c>
      <c r="C13" s="14" t="s">
        <v>489</v>
      </c>
      <c r="D13" s="14"/>
    </row>
    <row r="14">
      <c r="A14" s="74">
        <v>45048.58801842593</v>
      </c>
      <c r="B14" s="14" t="s">
        <v>503</v>
      </c>
      <c r="C14" s="14" t="s">
        <v>489</v>
      </c>
      <c r="D14" s="14"/>
    </row>
    <row r="15">
      <c r="A15" s="74">
        <v>45048.724925636576</v>
      </c>
      <c r="B15" s="14" t="s">
        <v>504</v>
      </c>
      <c r="C15" s="14" t="s">
        <v>18</v>
      </c>
      <c r="D15" s="14"/>
    </row>
    <row r="16">
      <c r="A16" s="74">
        <v>45050.95858122685</v>
      </c>
      <c r="B16" s="14" t="s">
        <v>505</v>
      </c>
      <c r="C16" s="14" t="s">
        <v>489</v>
      </c>
      <c r="D16" s="14"/>
    </row>
    <row r="17">
      <c r="A17" s="74">
        <v>45052.60086371528</v>
      </c>
      <c r="B17" s="14" t="s">
        <v>506</v>
      </c>
      <c r="C17" s="14" t="s">
        <v>507</v>
      </c>
      <c r="D17" s="14"/>
    </row>
    <row r="18">
      <c r="A18" s="74">
        <v>45055.54704563657</v>
      </c>
      <c r="B18" s="14" t="s">
        <v>508</v>
      </c>
      <c r="C18" s="75" t="s">
        <v>58</v>
      </c>
      <c r="D18" s="14"/>
    </row>
    <row r="19">
      <c r="A19" s="74">
        <v>45055.72828027778</v>
      </c>
      <c r="B19" s="14" t="s">
        <v>509</v>
      </c>
      <c r="C19" s="14" t="s">
        <v>8</v>
      </c>
      <c r="D19" s="14"/>
    </row>
    <row r="20">
      <c r="A20" s="74">
        <v>45057.86182868056</v>
      </c>
      <c r="B20" s="14" t="s">
        <v>510</v>
      </c>
      <c r="C20" s="14" t="s">
        <v>33</v>
      </c>
      <c r="D20" s="14"/>
    </row>
    <row r="21">
      <c r="A21" s="74">
        <v>45060.66387042824</v>
      </c>
      <c r="B21" s="14" t="s">
        <v>511</v>
      </c>
      <c r="C21" s="14" t="s">
        <v>8</v>
      </c>
      <c r="D21" s="14"/>
    </row>
    <row r="22">
      <c r="A22" s="74">
        <v>45061.78548496528</v>
      </c>
      <c r="B22" s="14" t="s">
        <v>512</v>
      </c>
      <c r="C22" s="14" t="s">
        <v>513</v>
      </c>
      <c r="D22" s="14"/>
    </row>
    <row r="23">
      <c r="A23" s="74">
        <v>45065.55057450231</v>
      </c>
      <c r="B23" s="14" t="s">
        <v>514</v>
      </c>
      <c r="C23" s="14" t="s">
        <v>10</v>
      </c>
      <c r="D23" s="14"/>
    </row>
    <row r="24">
      <c r="A24" s="74">
        <v>45066.55065422454</v>
      </c>
      <c r="B24" s="14" t="s">
        <v>515</v>
      </c>
      <c r="C24" s="75" t="s">
        <v>58</v>
      </c>
      <c r="D24" s="14"/>
    </row>
    <row r="25">
      <c r="A25" s="74">
        <v>45066.592258715275</v>
      </c>
      <c r="B25" s="14" t="s">
        <v>516</v>
      </c>
      <c r="C25" s="14" t="s">
        <v>8</v>
      </c>
      <c r="D25" s="14"/>
    </row>
    <row r="26">
      <c r="A26" s="74">
        <v>45066.83426484954</v>
      </c>
      <c r="B26" s="14" t="s">
        <v>517</v>
      </c>
      <c r="C26" s="14" t="s">
        <v>489</v>
      </c>
      <c r="D26" s="14"/>
    </row>
    <row r="27">
      <c r="A27" s="74">
        <v>45067.54480800926</v>
      </c>
      <c r="B27" s="14" t="s">
        <v>518</v>
      </c>
      <c r="C27" s="14" t="s">
        <v>519</v>
      </c>
      <c r="D27" s="14"/>
    </row>
    <row r="28">
      <c r="A28" s="74">
        <v>45068.55928475695</v>
      </c>
      <c r="B28" s="14" t="s">
        <v>520</v>
      </c>
      <c r="C28" s="75" t="s">
        <v>58</v>
      </c>
      <c r="D28" s="14"/>
    </row>
    <row r="29">
      <c r="A29" s="74">
        <v>45069.55511153935</v>
      </c>
      <c r="B29" s="14" t="s">
        <v>521</v>
      </c>
      <c r="C29" s="14" t="s">
        <v>33</v>
      </c>
      <c r="D29" s="14"/>
    </row>
    <row r="30">
      <c r="A30" s="74">
        <v>45072.57650380787</v>
      </c>
      <c r="B30" s="14" t="s">
        <v>522</v>
      </c>
      <c r="C30" s="14" t="s">
        <v>489</v>
      </c>
      <c r="D30" s="14"/>
    </row>
    <row r="31">
      <c r="A31" s="74">
        <v>45072.580378935185</v>
      </c>
      <c r="B31" s="14" t="s">
        <v>523</v>
      </c>
      <c r="C31" s="14" t="s">
        <v>507</v>
      </c>
      <c r="D31" s="14"/>
    </row>
    <row r="32">
      <c r="A32" s="74">
        <v>45073.66126988426</v>
      </c>
      <c r="B32" s="14" t="s">
        <v>524</v>
      </c>
      <c r="C32" s="14" t="s">
        <v>525</v>
      </c>
      <c r="D32" s="14"/>
    </row>
    <row r="33">
      <c r="A33" s="74">
        <v>45075.69227792824</v>
      </c>
      <c r="B33" s="14" t="s">
        <v>526</v>
      </c>
      <c r="C33" s="14" t="s">
        <v>489</v>
      </c>
      <c r="D33" s="14"/>
    </row>
    <row r="34">
      <c r="A34" s="74">
        <v>45075.95764789352</v>
      </c>
      <c r="B34" s="14" t="s">
        <v>527</v>
      </c>
      <c r="C34" s="14" t="s">
        <v>489</v>
      </c>
      <c r="D34" s="14"/>
    </row>
    <row r="35">
      <c r="A35" s="74">
        <v>45076.54569949074</v>
      </c>
      <c r="B35" s="14" t="s">
        <v>528</v>
      </c>
      <c r="C35" s="75" t="s">
        <v>58</v>
      </c>
      <c r="D35" s="14"/>
    </row>
    <row r="36">
      <c r="A36" s="74">
        <v>45077.59319168981</v>
      </c>
      <c r="B36" s="14" t="s">
        <v>529</v>
      </c>
      <c r="C36" s="14" t="s">
        <v>530</v>
      </c>
      <c r="D36" s="14"/>
    </row>
    <row r="37">
      <c r="A37" s="74">
        <v>45080.60214412037</v>
      </c>
      <c r="B37" s="14" t="s">
        <v>531</v>
      </c>
      <c r="C37" s="14" t="s">
        <v>8</v>
      </c>
      <c r="D37" s="14"/>
    </row>
    <row r="38">
      <c r="A38" s="74">
        <v>45085.705907800926</v>
      </c>
      <c r="B38" s="14" t="s">
        <v>532</v>
      </c>
      <c r="C38" s="14" t="s">
        <v>489</v>
      </c>
      <c r="D38" s="14"/>
    </row>
    <row r="39">
      <c r="A39" s="74">
        <v>45091.549176597226</v>
      </c>
      <c r="B39" s="14" t="s">
        <v>533</v>
      </c>
      <c r="C39" s="14" t="s">
        <v>489</v>
      </c>
      <c r="D39" s="14"/>
    </row>
    <row r="40">
      <c r="A40" s="74">
        <v>45091.752583090274</v>
      </c>
      <c r="B40" s="14" t="s">
        <v>534</v>
      </c>
      <c r="C40" s="14" t="s">
        <v>8</v>
      </c>
      <c r="D40" s="14"/>
    </row>
    <row r="41">
      <c r="A41" s="74">
        <v>45093.5689599537</v>
      </c>
      <c r="B41" s="14" t="s">
        <v>535</v>
      </c>
      <c r="C41" s="14" t="s">
        <v>489</v>
      </c>
      <c r="D41" s="14"/>
    </row>
    <row r="42">
      <c r="A42" s="74">
        <v>45093.797074131944</v>
      </c>
      <c r="B42" s="14" t="s">
        <v>536</v>
      </c>
      <c r="C42" s="14" t="s">
        <v>29</v>
      </c>
      <c r="D42" s="14"/>
    </row>
    <row r="43">
      <c r="A43" s="74">
        <v>45094.60563505787</v>
      </c>
      <c r="B43" s="14" t="s">
        <v>537</v>
      </c>
      <c r="C43" s="14" t="s">
        <v>10</v>
      </c>
      <c r="D43" s="14"/>
    </row>
    <row r="44">
      <c r="A44" s="74">
        <v>45095.42449958333</v>
      </c>
      <c r="B44" s="14" t="s">
        <v>538</v>
      </c>
      <c r="C44" s="14" t="s">
        <v>489</v>
      </c>
      <c r="D44" s="14"/>
    </row>
    <row r="45">
      <c r="A45" s="74">
        <v>45096.56838880787</v>
      </c>
      <c r="B45" s="14" t="s">
        <v>539</v>
      </c>
      <c r="C45" s="14" t="s">
        <v>10</v>
      </c>
      <c r="D45" s="14"/>
    </row>
    <row r="46">
      <c r="A46" s="74">
        <v>45096.90965417824</v>
      </c>
      <c r="B46" s="14" t="s">
        <v>540</v>
      </c>
      <c r="C46" s="14" t="s">
        <v>489</v>
      </c>
      <c r="D46" s="14"/>
    </row>
    <row r="47">
      <c r="A47" s="74">
        <v>45097.93984482639</v>
      </c>
      <c r="B47" s="14" t="s">
        <v>541</v>
      </c>
      <c r="C47" s="14" t="s">
        <v>489</v>
      </c>
      <c r="D47" s="14"/>
    </row>
    <row r="48">
      <c r="A48" s="74">
        <v>45098.599049004624</v>
      </c>
      <c r="B48" s="14" t="s">
        <v>542</v>
      </c>
      <c r="C48" s="14" t="s">
        <v>489</v>
      </c>
      <c r="D48" s="14"/>
    </row>
    <row r="49">
      <c r="A49" s="74">
        <v>45100.74931856482</v>
      </c>
      <c r="B49" s="14" t="s">
        <v>543</v>
      </c>
      <c r="C49" s="14" t="s">
        <v>38</v>
      </c>
      <c r="D49" s="14"/>
    </row>
    <row r="50">
      <c r="A50" s="74">
        <v>45101.91959711806</v>
      </c>
      <c r="B50" s="14" t="s">
        <v>544</v>
      </c>
      <c r="C50" s="14" t="s">
        <v>489</v>
      </c>
      <c r="D50" s="14"/>
    </row>
    <row r="51">
      <c r="A51" s="74">
        <v>45107.53941280092</v>
      </c>
      <c r="B51" s="14" t="s">
        <v>545</v>
      </c>
      <c r="C51" s="14" t="s">
        <v>489</v>
      </c>
      <c r="D51" s="14"/>
    </row>
    <row r="52">
      <c r="A52" s="74">
        <v>45109.55294664352</v>
      </c>
      <c r="B52" s="14" t="s">
        <v>546</v>
      </c>
      <c r="C52" s="14" t="s">
        <v>489</v>
      </c>
      <c r="D52" s="14"/>
    </row>
    <row r="53">
      <c r="A53" s="74">
        <v>45110.567736006946</v>
      </c>
      <c r="B53" s="14" t="s">
        <v>547</v>
      </c>
      <c r="C53" s="14" t="s">
        <v>8</v>
      </c>
      <c r="D53" s="14"/>
    </row>
    <row r="54">
      <c r="A54" s="74">
        <v>45113.42638145833</v>
      </c>
      <c r="B54" s="14" t="s">
        <v>548</v>
      </c>
      <c r="C54" s="14" t="s">
        <v>519</v>
      </c>
      <c r="D54" s="14"/>
    </row>
    <row r="55">
      <c r="A55" s="74">
        <v>45117.43298961806</v>
      </c>
      <c r="B55" s="14" t="s">
        <v>549</v>
      </c>
      <c r="C55" s="14" t="s">
        <v>8</v>
      </c>
      <c r="D55" s="14"/>
    </row>
    <row r="56">
      <c r="A56" s="74">
        <v>45119.544726215274</v>
      </c>
      <c r="B56" s="14" t="s">
        <v>550</v>
      </c>
      <c r="C56" s="14" t="s">
        <v>8</v>
      </c>
      <c r="D56" s="14"/>
    </row>
    <row r="57">
      <c r="A57" s="74">
        <v>45122.544272175925</v>
      </c>
      <c r="B57" s="14" t="s">
        <v>551</v>
      </c>
      <c r="C57" s="14" t="s">
        <v>8</v>
      </c>
      <c r="D57" s="14"/>
    </row>
    <row r="58">
      <c r="A58" s="74">
        <v>45126.54578752315</v>
      </c>
      <c r="B58" s="14" t="s">
        <v>552</v>
      </c>
      <c r="C58" s="14" t="s">
        <v>489</v>
      </c>
      <c r="D58" s="14"/>
    </row>
    <row r="59">
      <c r="A59" s="74">
        <v>45126.66590636574</v>
      </c>
      <c r="B59" s="14" t="s">
        <v>553</v>
      </c>
      <c r="C59" s="14" t="s">
        <v>8</v>
      </c>
      <c r="D59" s="14"/>
    </row>
    <row r="60">
      <c r="A60" s="74">
        <v>45127.59202965278</v>
      </c>
      <c r="B60" s="14" t="s">
        <v>554</v>
      </c>
      <c r="C60" s="14" t="s">
        <v>8</v>
      </c>
      <c r="D60" s="14"/>
    </row>
    <row r="61">
      <c r="A61" s="74">
        <v>45130.595225833335</v>
      </c>
      <c r="B61" s="14" t="s">
        <v>555</v>
      </c>
      <c r="C61" s="14" t="s">
        <v>33</v>
      </c>
      <c r="D61" s="14"/>
    </row>
    <row r="62">
      <c r="A62" s="74">
        <v>45133.61464292824</v>
      </c>
      <c r="B62" s="14" t="s">
        <v>556</v>
      </c>
      <c r="C62" s="14" t="s">
        <v>489</v>
      </c>
      <c r="D62" s="14"/>
    </row>
    <row r="63">
      <c r="A63" s="74">
        <v>45134.568097627314</v>
      </c>
      <c r="B63" s="14" t="s">
        <v>557</v>
      </c>
      <c r="C63" s="14" t="s">
        <v>496</v>
      </c>
      <c r="D63" s="14"/>
    </row>
    <row r="64">
      <c r="A64" s="74">
        <v>45134.913163680554</v>
      </c>
      <c r="B64" s="14" t="s">
        <v>558</v>
      </c>
      <c r="C64" s="14" t="s">
        <v>489</v>
      </c>
      <c r="D64" s="14"/>
    </row>
    <row r="65">
      <c r="A65" s="74">
        <v>45135.83782195602</v>
      </c>
      <c r="B65" s="14" t="s">
        <v>559</v>
      </c>
      <c r="C65" s="14" t="s">
        <v>8</v>
      </c>
      <c r="D65" s="14"/>
    </row>
    <row r="66">
      <c r="A66" s="74">
        <v>45135.84168309028</v>
      </c>
      <c r="B66" s="14" t="s">
        <v>560</v>
      </c>
      <c r="C66" s="14" t="s">
        <v>489</v>
      </c>
      <c r="D66" s="14"/>
    </row>
    <row r="67">
      <c r="A67" s="74">
        <v>45136.31363048611</v>
      </c>
      <c r="B67" s="14" t="s">
        <v>561</v>
      </c>
      <c r="C67" s="14" t="s">
        <v>489</v>
      </c>
      <c r="D67" s="14"/>
    </row>
    <row r="68">
      <c r="A68" s="74">
        <v>45136.58178521991</v>
      </c>
      <c r="B68" s="14" t="s">
        <v>562</v>
      </c>
      <c r="C68" s="14" t="s">
        <v>33</v>
      </c>
      <c r="D68" s="14"/>
    </row>
    <row r="69">
      <c r="A69" s="74">
        <v>45137.46750732639</v>
      </c>
      <c r="B69" s="14" t="s">
        <v>563</v>
      </c>
      <c r="C69" s="14" t="s">
        <v>507</v>
      </c>
      <c r="D69" s="14"/>
    </row>
    <row r="70">
      <c r="A70" s="74">
        <v>45137.46781787037</v>
      </c>
      <c r="B70" s="14" t="s">
        <v>564</v>
      </c>
      <c r="C70" s="75" t="s">
        <v>58</v>
      </c>
      <c r="D70" s="14"/>
    </row>
    <row r="71">
      <c r="A71" s="74">
        <v>45137.66671746528</v>
      </c>
      <c r="B71" s="14" t="s">
        <v>565</v>
      </c>
      <c r="C71" s="14" t="s">
        <v>489</v>
      </c>
      <c r="D71" s="14"/>
    </row>
    <row r="72">
      <c r="A72" s="74">
        <v>45137.80697421296</v>
      </c>
      <c r="B72" s="14" t="s">
        <v>566</v>
      </c>
      <c r="C72" s="14" t="s">
        <v>8</v>
      </c>
      <c r="D72" s="14"/>
    </row>
    <row r="73">
      <c r="A73" s="74">
        <v>45138.58367125</v>
      </c>
      <c r="B73" s="14" t="s">
        <v>567</v>
      </c>
      <c r="C73" s="14" t="s">
        <v>8</v>
      </c>
      <c r="D73" s="14"/>
    </row>
    <row r="74">
      <c r="A74" s="74">
        <v>45138.670746504635</v>
      </c>
      <c r="B74" s="14" t="s">
        <v>568</v>
      </c>
      <c r="C74" s="14" t="s">
        <v>489</v>
      </c>
      <c r="D74" s="14"/>
    </row>
    <row r="75">
      <c r="A75" s="74">
        <v>45142.54407321759</v>
      </c>
      <c r="B75" s="14" t="s">
        <v>569</v>
      </c>
      <c r="C75" s="14" t="s">
        <v>10</v>
      </c>
      <c r="D75" s="14"/>
    </row>
    <row r="76">
      <c r="A76" s="74">
        <v>45146.589049965274</v>
      </c>
      <c r="B76" s="14" t="s">
        <v>570</v>
      </c>
      <c r="C76" s="14" t="s">
        <v>489</v>
      </c>
      <c r="D76" s="14"/>
    </row>
    <row r="77">
      <c r="A77" s="74">
        <v>45147.603987118055</v>
      </c>
      <c r="B77" s="14" t="s">
        <v>571</v>
      </c>
      <c r="C77" s="14" t="s">
        <v>489</v>
      </c>
      <c r="D77" s="14"/>
    </row>
    <row r="78">
      <c r="A78" s="74">
        <v>45147.6105566551</v>
      </c>
      <c r="B78" s="14" t="s">
        <v>572</v>
      </c>
      <c r="C78" s="14" t="s">
        <v>8</v>
      </c>
      <c r="D78" s="14"/>
    </row>
    <row r="79">
      <c r="A79" s="74">
        <v>45147.6532758449</v>
      </c>
      <c r="B79" s="14" t="s">
        <v>573</v>
      </c>
      <c r="C79" s="14" t="s">
        <v>8</v>
      </c>
      <c r="D79" s="14"/>
    </row>
    <row r="80">
      <c r="A80" s="74">
        <v>45147.9316034838</v>
      </c>
      <c r="B80" s="14" t="s">
        <v>574</v>
      </c>
      <c r="C80" s="14" t="s">
        <v>575</v>
      </c>
      <c r="D80" s="14"/>
    </row>
    <row r="81">
      <c r="A81" s="74">
        <v>45148.578939178245</v>
      </c>
      <c r="B81" s="14" t="s">
        <v>576</v>
      </c>
      <c r="C81" s="14" t="s">
        <v>489</v>
      </c>
      <c r="D81" s="14"/>
    </row>
    <row r="82">
      <c r="A82" s="74">
        <v>45149.55532896991</v>
      </c>
      <c r="B82" s="14" t="s">
        <v>577</v>
      </c>
      <c r="C82" s="14" t="s">
        <v>519</v>
      </c>
      <c r="D82" s="14"/>
    </row>
    <row r="83">
      <c r="A83" s="74">
        <v>45150.54380425926</v>
      </c>
      <c r="B83" s="14" t="s">
        <v>578</v>
      </c>
      <c r="C83" s="14" t="s">
        <v>38</v>
      </c>
      <c r="D83" s="14"/>
    </row>
    <row r="84">
      <c r="A84" s="74">
        <v>45150.5441253125</v>
      </c>
      <c r="B84" s="14" t="s">
        <v>579</v>
      </c>
      <c r="C84" s="14" t="s">
        <v>489</v>
      </c>
      <c r="D84" s="14"/>
    </row>
    <row r="85">
      <c r="A85" s="74">
        <v>45150.63758652778</v>
      </c>
      <c r="B85" s="14" t="s">
        <v>580</v>
      </c>
      <c r="C85" s="14" t="s">
        <v>18</v>
      </c>
      <c r="D85" s="14"/>
    </row>
    <row r="86">
      <c r="A86" s="74">
        <v>45151.63230092592</v>
      </c>
      <c r="B86" s="14" t="s">
        <v>581</v>
      </c>
      <c r="C86" s="14" t="s">
        <v>496</v>
      </c>
      <c r="D86" s="14"/>
    </row>
    <row r="87">
      <c r="A87" s="74">
        <v>45151.937546284724</v>
      </c>
      <c r="B87" s="14" t="s">
        <v>582</v>
      </c>
      <c r="C87" s="14" t="s">
        <v>489</v>
      </c>
      <c r="D87" s="14"/>
    </row>
    <row r="88">
      <c r="A88" s="74">
        <v>45152.82162469908</v>
      </c>
      <c r="B88" s="14" t="s">
        <v>583</v>
      </c>
      <c r="C88" s="14" t="s">
        <v>584</v>
      </c>
      <c r="D88" s="14"/>
    </row>
    <row r="89">
      <c r="A89" s="74">
        <v>45160.069814594906</v>
      </c>
      <c r="B89" s="14" t="s">
        <v>585</v>
      </c>
      <c r="C89" s="14" t="s">
        <v>10</v>
      </c>
      <c r="D89" s="14"/>
    </row>
    <row r="90">
      <c r="A90" s="74">
        <v>45160.52426658565</v>
      </c>
      <c r="B90" s="14" t="s">
        <v>586</v>
      </c>
      <c r="C90" s="14" t="s">
        <v>507</v>
      </c>
      <c r="D90" s="14"/>
    </row>
    <row r="91">
      <c r="A91" s="74">
        <v>45160.543964282406</v>
      </c>
      <c r="B91" s="14" t="s">
        <v>587</v>
      </c>
      <c r="C91" s="14" t="s">
        <v>584</v>
      </c>
      <c r="D91" s="14"/>
    </row>
    <row r="92">
      <c r="A92" s="74">
        <v>45160.54848513889</v>
      </c>
      <c r="B92" s="14" t="s">
        <v>588</v>
      </c>
      <c r="C92" s="14" t="s">
        <v>584</v>
      </c>
      <c r="D92" s="14"/>
    </row>
    <row r="93">
      <c r="A93" s="74">
        <v>45160.54883138889</v>
      </c>
      <c r="B93" s="14" t="s">
        <v>589</v>
      </c>
      <c r="C93" s="14" t="s">
        <v>8</v>
      </c>
      <c r="D93" s="14"/>
    </row>
    <row r="94">
      <c r="A94" s="74">
        <v>45160.551710671294</v>
      </c>
      <c r="B94" s="14" t="s">
        <v>590</v>
      </c>
      <c r="C94" s="14" t="s">
        <v>8</v>
      </c>
      <c r="D94" s="14"/>
    </row>
    <row r="95">
      <c r="A95" s="74">
        <v>45160.55803597222</v>
      </c>
      <c r="B95" s="14" t="s">
        <v>591</v>
      </c>
      <c r="C95" s="14" t="s">
        <v>8</v>
      </c>
      <c r="D95" s="14"/>
    </row>
    <row r="96">
      <c r="A96" s="74">
        <v>45160.561364340276</v>
      </c>
      <c r="B96" s="14" t="s">
        <v>592</v>
      </c>
      <c r="C96" s="14" t="s">
        <v>8</v>
      </c>
      <c r="D96" s="14"/>
    </row>
    <row r="97">
      <c r="A97" s="74">
        <v>45160.56756420139</v>
      </c>
      <c r="B97" s="14" t="s">
        <v>593</v>
      </c>
      <c r="C97" s="14" t="s">
        <v>8</v>
      </c>
      <c r="D97" s="14"/>
    </row>
    <row r="98">
      <c r="A98" s="74">
        <v>45160.73873679398</v>
      </c>
      <c r="B98" s="14" t="s">
        <v>594</v>
      </c>
      <c r="C98" s="14" t="s">
        <v>33</v>
      </c>
      <c r="D98" s="14"/>
    </row>
    <row r="99">
      <c r="A99" s="74">
        <v>45162.32647857639</v>
      </c>
      <c r="B99" s="14" t="s">
        <v>595</v>
      </c>
      <c r="C99" s="14" t="s">
        <v>596</v>
      </c>
      <c r="D99" s="14"/>
    </row>
    <row r="100">
      <c r="A100" s="14"/>
      <c r="B100" s="14"/>
      <c r="C100" s="14"/>
      <c r="D100" s="14"/>
    </row>
    <row r="101">
      <c r="A101" s="14"/>
      <c r="B101" s="14"/>
      <c r="C101" s="14"/>
      <c r="D101" s="14"/>
    </row>
    <row r="102">
      <c r="A102" s="14"/>
      <c r="B102" s="14"/>
      <c r="C102" s="14"/>
      <c r="D102" s="14"/>
    </row>
    <row r="103">
      <c r="A103" s="14"/>
      <c r="B103" s="14"/>
      <c r="C103" s="14"/>
      <c r="D103" s="14"/>
    </row>
    <row r="104">
      <c r="A104" s="14"/>
      <c r="B104" s="14"/>
      <c r="C104" s="14"/>
      <c r="D104" s="14"/>
    </row>
    <row r="105">
      <c r="A105" s="14"/>
      <c r="B105" s="14"/>
      <c r="C105" s="14"/>
      <c r="D105" s="14"/>
    </row>
    <row r="106">
      <c r="A106" s="14"/>
      <c r="B106" s="14"/>
      <c r="C106" s="14"/>
      <c r="D106" s="14"/>
    </row>
    <row r="107">
      <c r="A107" s="14"/>
      <c r="B107" s="14"/>
      <c r="C107" s="14"/>
      <c r="D107" s="14"/>
    </row>
    <row r="108">
      <c r="A108" s="14"/>
      <c r="B108" s="14"/>
      <c r="C108" s="14"/>
      <c r="D108" s="14"/>
    </row>
    <row r="109">
      <c r="A109" s="14"/>
      <c r="B109" s="14"/>
      <c r="C109" s="14"/>
      <c r="D109" s="14"/>
    </row>
    <row r="110">
      <c r="A110" s="14"/>
      <c r="B110" s="14"/>
      <c r="C110" s="14"/>
      <c r="D110" s="14"/>
    </row>
    <row r="111">
      <c r="A111" s="14"/>
      <c r="B111" s="14"/>
      <c r="C111" s="14"/>
      <c r="D111" s="14"/>
    </row>
    <row r="112">
      <c r="A112" s="14"/>
      <c r="B112" s="14"/>
      <c r="C112" s="14"/>
      <c r="D112" s="14"/>
    </row>
    <row r="113">
      <c r="A113" s="14"/>
      <c r="B113" s="14"/>
      <c r="C113" s="14"/>
      <c r="D113" s="14"/>
    </row>
    <row r="114">
      <c r="A114" s="14"/>
      <c r="B114" s="14"/>
      <c r="C114" s="14"/>
      <c r="D114" s="14"/>
    </row>
    <row r="115">
      <c r="A115" s="14"/>
      <c r="B115" s="76"/>
      <c r="C115" s="76"/>
      <c r="D115" s="14"/>
    </row>
    <row r="116">
      <c r="A116" s="14"/>
      <c r="B116" s="77"/>
      <c r="C116" s="77"/>
      <c r="D116" s="14"/>
    </row>
    <row r="117">
      <c r="A117" s="14"/>
      <c r="B117" s="76"/>
      <c r="C117" s="76"/>
      <c r="D117" s="14"/>
    </row>
    <row r="118">
      <c r="A118" s="14"/>
      <c r="B118" s="14"/>
      <c r="C118" s="14"/>
      <c r="D118" s="14"/>
    </row>
    <row r="119">
      <c r="A119" s="14"/>
      <c r="B119" s="14"/>
      <c r="C119" s="14"/>
      <c r="D119" s="14"/>
    </row>
    <row r="120">
      <c r="A120" s="14"/>
      <c r="B120" s="14"/>
      <c r="C120" s="14"/>
      <c r="D120" s="14"/>
    </row>
    <row r="121">
      <c r="A121" s="14"/>
      <c r="B121" s="14"/>
      <c r="C121" s="14"/>
      <c r="D121" s="14"/>
    </row>
    <row r="122">
      <c r="A122" s="14"/>
      <c r="B122" s="14"/>
      <c r="C122" s="14"/>
      <c r="D122" s="14"/>
    </row>
    <row r="123">
      <c r="A123" s="14"/>
      <c r="B123" s="14"/>
      <c r="C123" s="14"/>
      <c r="D123" s="14"/>
    </row>
    <row r="124">
      <c r="A124" s="14"/>
      <c r="B124" s="14"/>
      <c r="C124" s="14"/>
      <c r="D124" s="14"/>
    </row>
    <row r="125">
      <c r="A125" s="14"/>
      <c r="B125" s="14"/>
      <c r="C125" s="14"/>
      <c r="D125" s="14"/>
    </row>
    <row r="126">
      <c r="A126" s="14"/>
      <c r="B126" s="14"/>
      <c r="C126" s="14"/>
      <c r="D126" s="14"/>
    </row>
    <row r="127">
      <c r="A127" s="14"/>
      <c r="B127" s="14"/>
      <c r="C127" s="14"/>
      <c r="D127" s="14"/>
    </row>
    <row r="128">
      <c r="A128" s="14"/>
      <c r="B128" s="14"/>
      <c r="C128" s="14"/>
      <c r="D128" s="14"/>
    </row>
    <row r="129">
      <c r="A129" s="14"/>
      <c r="B129" s="14"/>
      <c r="C129" s="14"/>
      <c r="D129" s="14"/>
    </row>
    <row r="130">
      <c r="A130" s="14"/>
      <c r="B130" s="14"/>
      <c r="C130" s="14"/>
      <c r="D130" s="14"/>
    </row>
    <row r="131">
      <c r="A131" s="14"/>
      <c r="B131" s="14"/>
      <c r="C131" s="14"/>
      <c r="D131" s="14"/>
    </row>
    <row r="132">
      <c r="A132" s="14"/>
      <c r="B132" s="14"/>
      <c r="C132" s="14"/>
      <c r="D132" s="14"/>
    </row>
    <row r="133">
      <c r="A133" s="14"/>
      <c r="B133" s="14"/>
      <c r="C133" s="14"/>
      <c r="D133" s="14"/>
    </row>
    <row r="134">
      <c r="A134" s="14"/>
      <c r="B134" s="14"/>
      <c r="C134" s="14"/>
      <c r="D134" s="14"/>
    </row>
    <row r="135">
      <c r="A135" s="14"/>
      <c r="B135" s="14"/>
      <c r="C135" s="14"/>
      <c r="D135" s="14"/>
    </row>
    <row r="136">
      <c r="A136" s="14"/>
      <c r="B136" s="14"/>
      <c r="C136" s="14"/>
      <c r="D136" s="14"/>
    </row>
    <row r="137">
      <c r="A137" s="14"/>
      <c r="B137" s="14"/>
      <c r="C137" s="14"/>
      <c r="D137" s="14"/>
    </row>
    <row r="138">
      <c r="A138" s="14"/>
      <c r="B138" s="14"/>
      <c r="C138" s="14"/>
      <c r="D138" s="14"/>
    </row>
    <row r="139">
      <c r="A139" s="14"/>
      <c r="B139" s="14"/>
      <c r="C139" s="14"/>
      <c r="D139" s="14"/>
    </row>
    <row r="140">
      <c r="A140" s="14"/>
      <c r="B140" s="14"/>
      <c r="C140" s="14"/>
      <c r="D140" s="14"/>
    </row>
    <row r="141">
      <c r="A141" s="14"/>
      <c r="B141" s="14"/>
      <c r="C141" s="14"/>
      <c r="D141" s="14"/>
    </row>
    <row r="142">
      <c r="A142" s="14"/>
      <c r="B142" s="14"/>
      <c r="C142" s="14"/>
      <c r="D142" s="14"/>
    </row>
    <row r="143">
      <c r="A143" s="14"/>
      <c r="B143" s="14"/>
      <c r="C143" s="14"/>
      <c r="D143" s="14"/>
    </row>
    <row r="144">
      <c r="A144" s="14"/>
      <c r="B144" s="14"/>
      <c r="C144" s="14"/>
      <c r="D144" s="14"/>
    </row>
    <row r="145">
      <c r="A145" s="14"/>
      <c r="B145" s="14"/>
      <c r="C145" s="14"/>
      <c r="D145" s="14"/>
    </row>
    <row r="146">
      <c r="A146" s="14"/>
      <c r="B146" s="14"/>
      <c r="C146" s="14"/>
      <c r="D146" s="14"/>
    </row>
    <row r="147">
      <c r="A147" s="14"/>
      <c r="B147" s="14"/>
      <c r="C147" s="14"/>
      <c r="D147" s="14"/>
    </row>
    <row r="148">
      <c r="A148" s="14"/>
      <c r="B148" s="14"/>
      <c r="C148" s="14"/>
      <c r="D148" s="14"/>
    </row>
    <row r="149">
      <c r="A149" s="14"/>
      <c r="B149" s="14"/>
      <c r="C149" s="14"/>
      <c r="D149" s="14"/>
    </row>
    <row r="150">
      <c r="A150" s="14"/>
      <c r="B150" s="14"/>
      <c r="C150" s="14"/>
      <c r="D150" s="14"/>
    </row>
    <row r="151">
      <c r="A151" s="14"/>
      <c r="B151" s="14"/>
      <c r="C151" s="14"/>
      <c r="D151" s="14"/>
    </row>
    <row r="152">
      <c r="A152" s="14"/>
      <c r="B152" s="14"/>
      <c r="C152" s="14"/>
      <c r="D152" s="14"/>
    </row>
    <row r="153">
      <c r="A153" s="14"/>
      <c r="B153" s="14"/>
      <c r="C153" s="14"/>
      <c r="D153" s="14"/>
    </row>
    <row r="154">
      <c r="A154" s="14"/>
      <c r="B154" s="14"/>
      <c r="C154" s="14"/>
      <c r="D154" s="14"/>
    </row>
    <row r="155">
      <c r="A155" s="14"/>
      <c r="B155" s="14"/>
      <c r="C155" s="14"/>
      <c r="D155" s="14"/>
    </row>
    <row r="156">
      <c r="A156" s="14"/>
      <c r="B156" s="14"/>
      <c r="C156" s="14"/>
      <c r="D156" s="14"/>
    </row>
    <row r="157">
      <c r="A157" s="14"/>
      <c r="B157" s="14"/>
      <c r="C157" s="14"/>
      <c r="D157" s="14"/>
    </row>
    <row r="158">
      <c r="A158" s="14"/>
      <c r="B158" s="14"/>
      <c r="C158" s="14"/>
      <c r="D158" s="14"/>
    </row>
    <row r="159">
      <c r="A159" s="14"/>
      <c r="B159" s="14"/>
      <c r="C159" s="14"/>
      <c r="D159" s="14"/>
    </row>
    <row r="160">
      <c r="A160" s="14"/>
      <c r="B160" s="14"/>
      <c r="C160" s="14"/>
      <c r="D160" s="14"/>
    </row>
    <row r="161">
      <c r="A161" s="14"/>
      <c r="B161" s="14"/>
      <c r="C161" s="14"/>
      <c r="D161" s="14"/>
    </row>
    <row r="162">
      <c r="A162" s="14"/>
      <c r="B162" s="14"/>
      <c r="C162" s="14"/>
      <c r="D162" s="14"/>
    </row>
    <row r="163">
      <c r="A163" s="14"/>
      <c r="B163" s="14"/>
      <c r="C163" s="14"/>
      <c r="D163" s="14"/>
    </row>
    <row r="164">
      <c r="A164" s="14"/>
      <c r="B164" s="14"/>
      <c r="C164" s="14"/>
      <c r="D164" s="14"/>
    </row>
    <row r="165">
      <c r="A165" s="14"/>
      <c r="B165" s="14"/>
      <c r="C165" s="14"/>
      <c r="D165" s="14"/>
    </row>
    <row r="166">
      <c r="A166" s="14"/>
      <c r="B166" s="14"/>
      <c r="C166" s="14"/>
      <c r="D166" s="14"/>
    </row>
    <row r="167">
      <c r="A167" s="14"/>
      <c r="B167" s="14"/>
      <c r="C167" s="14"/>
      <c r="D167" s="14"/>
    </row>
    <row r="168">
      <c r="A168" s="14"/>
      <c r="B168" s="14"/>
      <c r="C168" s="14"/>
      <c r="D168" s="14"/>
    </row>
    <row r="169">
      <c r="A169" s="14"/>
      <c r="B169" s="14"/>
      <c r="C169" s="14"/>
      <c r="D169" s="14"/>
    </row>
    <row r="170">
      <c r="A170" s="14"/>
      <c r="B170" s="14"/>
      <c r="C170" s="14"/>
      <c r="D170" s="14"/>
    </row>
    <row r="171">
      <c r="A171" s="14"/>
      <c r="B171" s="14"/>
      <c r="C171" s="14"/>
      <c r="D171" s="14"/>
    </row>
    <row r="172">
      <c r="A172" s="14"/>
      <c r="B172" s="14"/>
      <c r="C172" s="14"/>
      <c r="D172" s="14"/>
    </row>
    <row r="173">
      <c r="A173" s="14"/>
      <c r="B173" s="14"/>
      <c r="C173" s="14"/>
      <c r="D173" s="14"/>
    </row>
    <row r="174">
      <c r="A174" s="14"/>
      <c r="B174" s="14"/>
      <c r="C174" s="14"/>
      <c r="D174" s="14"/>
    </row>
    <row r="175">
      <c r="A175" s="14"/>
      <c r="B175" s="14"/>
      <c r="C175" s="14"/>
      <c r="D175" s="14"/>
    </row>
    <row r="176">
      <c r="A176" s="14"/>
      <c r="B176" s="14"/>
      <c r="C176" s="14"/>
      <c r="D176" s="14"/>
    </row>
    <row r="177">
      <c r="A177" s="14"/>
      <c r="B177" s="14"/>
      <c r="C177" s="14"/>
      <c r="D177" s="14"/>
    </row>
    <row r="178">
      <c r="A178" s="14"/>
      <c r="B178" s="14"/>
      <c r="C178" s="14"/>
      <c r="D178" s="14"/>
    </row>
    <row r="179">
      <c r="A179" s="14"/>
      <c r="B179" s="14"/>
      <c r="C179" s="14"/>
      <c r="D179" s="14"/>
    </row>
    <row r="180">
      <c r="A180" s="14"/>
      <c r="B180" s="14"/>
      <c r="C180" s="14"/>
      <c r="D180" s="14"/>
    </row>
    <row r="181">
      <c r="A181" s="14"/>
      <c r="B181" s="14"/>
      <c r="C181" s="14"/>
      <c r="D181" s="14"/>
    </row>
    <row r="182">
      <c r="A182" s="14"/>
      <c r="B182" s="14"/>
      <c r="C182" s="14"/>
      <c r="D182" s="14"/>
    </row>
    <row r="183">
      <c r="A183" s="14"/>
      <c r="B183" s="14"/>
      <c r="C183" s="14"/>
      <c r="D183" s="14"/>
    </row>
    <row r="184">
      <c r="A184" s="14"/>
      <c r="B184" s="14"/>
      <c r="C184" s="14"/>
      <c r="D184" s="14"/>
    </row>
    <row r="185">
      <c r="A185" s="14"/>
      <c r="B185" s="14"/>
      <c r="C185" s="14"/>
      <c r="D185" s="14"/>
    </row>
    <row r="186">
      <c r="A186" s="14"/>
      <c r="B186" s="14"/>
      <c r="C186" s="14"/>
      <c r="D186" s="14"/>
    </row>
    <row r="187">
      <c r="A187" s="14"/>
      <c r="B187" s="14"/>
      <c r="C187" s="14"/>
      <c r="D187" s="14"/>
    </row>
    <row r="188">
      <c r="A188" s="14"/>
      <c r="B188" s="14"/>
      <c r="C188" s="14"/>
      <c r="D188" s="14"/>
    </row>
    <row r="189">
      <c r="A189" s="14"/>
      <c r="B189" s="14"/>
      <c r="C189" s="14"/>
      <c r="D189" s="14"/>
    </row>
    <row r="190">
      <c r="A190" s="14"/>
      <c r="B190" s="14"/>
      <c r="C190" s="14"/>
      <c r="D190" s="14"/>
    </row>
    <row r="191">
      <c r="A191" s="14"/>
      <c r="B191" s="14"/>
      <c r="C191" s="14"/>
      <c r="D191" s="14"/>
    </row>
    <row r="192">
      <c r="A192" s="14"/>
      <c r="B192" s="14"/>
      <c r="C192" s="14"/>
      <c r="D192" s="14"/>
    </row>
    <row r="193">
      <c r="A193" s="14"/>
      <c r="B193" s="14"/>
      <c r="C193" s="14"/>
      <c r="D193" s="14"/>
    </row>
    <row r="194">
      <c r="A194" s="14"/>
      <c r="B194" s="14"/>
      <c r="C194" s="14"/>
      <c r="D194" s="14"/>
    </row>
    <row r="195">
      <c r="A195" s="14"/>
      <c r="B195" s="14"/>
      <c r="C195" s="14"/>
      <c r="D195" s="14"/>
    </row>
    <row r="196">
      <c r="A196" s="14"/>
      <c r="B196" s="14"/>
      <c r="C196" s="14"/>
      <c r="D196" s="14"/>
    </row>
    <row r="197">
      <c r="A197" s="14"/>
      <c r="B197" s="14"/>
      <c r="C197" s="14"/>
      <c r="D197" s="14"/>
    </row>
    <row r="198">
      <c r="A198" s="14"/>
      <c r="B198" s="14"/>
      <c r="C198" s="14"/>
      <c r="D198" s="14"/>
    </row>
    <row r="199">
      <c r="A199" s="14"/>
      <c r="B199" s="14"/>
      <c r="C199" s="14"/>
      <c r="D199"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4" max="4" width="56.5"/>
  </cols>
  <sheetData>
    <row r="3">
      <c r="A3" s="66" t="s">
        <v>440</v>
      </c>
    </row>
    <row r="4">
      <c r="A4" s="78" t="s">
        <v>597</v>
      </c>
      <c r="B4" s="68">
        <v>14.0</v>
      </c>
      <c r="C4" s="79">
        <f>B4/B12</f>
        <v>0.358974359</v>
      </c>
      <c r="D4" s="7" t="s">
        <v>598</v>
      </c>
    </row>
    <row r="5">
      <c r="A5" s="78" t="s">
        <v>599</v>
      </c>
      <c r="B5" s="68">
        <v>11.0</v>
      </c>
      <c r="C5" s="79">
        <f>B5/B12</f>
        <v>0.2820512821</v>
      </c>
    </row>
    <row r="6">
      <c r="A6" s="78" t="s">
        <v>600</v>
      </c>
      <c r="B6" s="68">
        <v>6.0</v>
      </c>
      <c r="C6" s="79">
        <f>B6/B12</f>
        <v>0.1538461538</v>
      </c>
      <c r="D6" s="7" t="s">
        <v>601</v>
      </c>
    </row>
    <row r="7">
      <c r="A7" s="7" t="s">
        <v>602</v>
      </c>
      <c r="B7" s="7">
        <v>3.0</v>
      </c>
      <c r="C7" s="54">
        <f>B7/B12</f>
        <v>0.07692307692</v>
      </c>
    </row>
    <row r="8">
      <c r="A8" s="7" t="s">
        <v>603</v>
      </c>
      <c r="B8" s="7">
        <v>3.0</v>
      </c>
      <c r="C8" s="54">
        <f>B8/B12</f>
        <v>0.07692307692</v>
      </c>
    </row>
    <row r="9">
      <c r="A9" s="31" t="s">
        <v>604</v>
      </c>
      <c r="B9" s="7">
        <v>1.0</v>
      </c>
      <c r="C9" s="54">
        <f>B9/B12</f>
        <v>0.02564102564</v>
      </c>
    </row>
    <row r="10">
      <c r="A10" s="7" t="s">
        <v>605</v>
      </c>
      <c r="B10" s="7">
        <v>1.0</v>
      </c>
      <c r="C10" s="54">
        <f>B10/B12</f>
        <v>0.02564102564</v>
      </c>
    </row>
    <row r="12">
      <c r="A12" s="7" t="s">
        <v>606</v>
      </c>
      <c r="B12" s="20">
        <f>SUM(B4:B10)</f>
        <v>39</v>
      </c>
    </row>
    <row r="16">
      <c r="A16" s="80" t="s">
        <v>607</v>
      </c>
    </row>
    <row r="17">
      <c r="A17" s="68" t="s">
        <v>608</v>
      </c>
      <c r="B17" s="68">
        <v>20.0</v>
      </c>
      <c r="C17" s="81">
        <v>0.39</v>
      </c>
    </row>
    <row r="18">
      <c r="A18" s="68" t="s">
        <v>609</v>
      </c>
      <c r="B18" s="68">
        <v>14.0</v>
      </c>
      <c r="C18" s="79">
        <f>B18/B31</f>
        <v>0.2692307692</v>
      </c>
    </row>
    <row r="19">
      <c r="A19" s="78" t="s">
        <v>597</v>
      </c>
      <c r="B19" s="68">
        <v>6.0</v>
      </c>
      <c r="C19" s="79">
        <f>B19/B31</f>
        <v>0.1153846154</v>
      </c>
    </row>
    <row r="20">
      <c r="A20" s="7" t="s">
        <v>602</v>
      </c>
      <c r="B20" s="7">
        <v>2.0</v>
      </c>
      <c r="C20" s="54">
        <f>B20/B31</f>
        <v>0.03846153846</v>
      </c>
    </row>
    <row r="21">
      <c r="A21" s="7" t="s">
        <v>610</v>
      </c>
      <c r="B21" s="7">
        <v>2.0</v>
      </c>
      <c r="C21" s="54">
        <f>B21/B31</f>
        <v>0.03846153846</v>
      </c>
    </row>
    <row r="22">
      <c r="A22" s="31" t="s">
        <v>599</v>
      </c>
      <c r="B22" s="7">
        <v>2.0</v>
      </c>
      <c r="C22" s="54">
        <f>B22/B31</f>
        <v>0.03846153846</v>
      </c>
    </row>
    <row r="23">
      <c r="A23" s="7" t="s">
        <v>611</v>
      </c>
      <c r="B23" s="7">
        <v>1.0</v>
      </c>
      <c r="C23" s="54">
        <f>B23/B31</f>
        <v>0.01923076923</v>
      </c>
    </row>
    <row r="24">
      <c r="A24" s="7" t="s">
        <v>612</v>
      </c>
      <c r="B24" s="7">
        <v>1.0</v>
      </c>
      <c r="C24" s="54">
        <f>B24/B31</f>
        <v>0.01923076923</v>
      </c>
    </row>
    <row r="25">
      <c r="A25" s="7" t="s">
        <v>613</v>
      </c>
      <c r="B25" s="7">
        <v>1.0</v>
      </c>
      <c r="C25" s="54">
        <f>B25/B31</f>
        <v>0.01923076923</v>
      </c>
    </row>
    <row r="26">
      <c r="A26" s="31" t="s">
        <v>600</v>
      </c>
      <c r="B26" s="7">
        <v>1.0</v>
      </c>
      <c r="C26" s="54">
        <f>B26/B31</f>
        <v>0.01923076923</v>
      </c>
    </row>
    <row r="27">
      <c r="A27" s="7" t="s">
        <v>603</v>
      </c>
      <c r="B27" s="7">
        <v>1.0</v>
      </c>
      <c r="C27" s="54">
        <f>B27/B31</f>
        <v>0.01923076923</v>
      </c>
    </row>
    <row r="28">
      <c r="A28" s="31" t="s">
        <v>604</v>
      </c>
      <c r="B28" s="7">
        <v>1.0</v>
      </c>
      <c r="C28" s="54">
        <f>B28/B31</f>
        <v>0.01923076923</v>
      </c>
    </row>
    <row r="30">
      <c r="A30" s="7" t="s">
        <v>614</v>
      </c>
      <c r="B30" s="20">
        <f>SUM(B18:B28)</f>
        <v>32</v>
      </c>
      <c r="C30" s="56">
        <v>0.61</v>
      </c>
    </row>
    <row r="31">
      <c r="A31" s="7" t="s">
        <v>606</v>
      </c>
      <c r="B31" s="20">
        <f>sum(B17+B30)</f>
        <v>52</v>
      </c>
    </row>
  </sheetData>
  <mergeCells count="2">
    <mergeCell ref="A3:Z3"/>
    <mergeCell ref="A16:Z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s>
  <sheetData>
    <row r="4">
      <c r="A4" s="66" t="s">
        <v>440</v>
      </c>
      <c r="B4" s="66"/>
      <c r="C4" s="66"/>
      <c r="D4" s="66"/>
      <c r="E4" s="66"/>
      <c r="F4" s="66"/>
      <c r="G4" s="66"/>
      <c r="H4" s="66"/>
      <c r="I4" s="66"/>
      <c r="J4" s="66"/>
      <c r="K4" s="66"/>
      <c r="L4" s="66"/>
      <c r="M4" s="66"/>
      <c r="N4" s="66"/>
      <c r="O4" s="66"/>
      <c r="P4" s="66"/>
      <c r="Q4" s="66"/>
      <c r="R4" s="66"/>
      <c r="S4" s="66"/>
      <c r="T4" s="66"/>
      <c r="U4" s="66"/>
      <c r="V4" s="66"/>
      <c r="W4" s="66"/>
      <c r="X4" s="66"/>
      <c r="Y4" s="66"/>
      <c r="Z4" s="66"/>
      <c r="AA4" s="66"/>
    </row>
    <row r="5">
      <c r="A5" s="14" t="s">
        <v>174</v>
      </c>
      <c r="B5" s="54"/>
    </row>
    <row r="6">
      <c r="A6" s="14" t="s">
        <v>584</v>
      </c>
      <c r="B6" s="54"/>
    </row>
    <row r="7">
      <c r="A7" s="14" t="s">
        <v>519</v>
      </c>
      <c r="B7" s="54"/>
    </row>
    <row r="8">
      <c r="A8" s="14" t="s">
        <v>58</v>
      </c>
      <c r="B8" s="54">
        <f>C8/C32</f>
        <v>0.05128205128</v>
      </c>
      <c r="C8" s="7">
        <v>2.0</v>
      </c>
    </row>
    <row r="9">
      <c r="A9" s="14" t="s">
        <v>8</v>
      </c>
      <c r="B9" s="54"/>
    </row>
    <row r="10">
      <c r="A10" s="14" t="s">
        <v>615</v>
      </c>
      <c r="B10" s="54"/>
    </row>
    <row r="11">
      <c r="A11" s="14" t="s">
        <v>11</v>
      </c>
      <c r="B11" s="54">
        <f>C11/C32</f>
        <v>0.3076923077</v>
      </c>
      <c r="C11" s="7">
        <v>12.0</v>
      </c>
    </row>
    <row r="12">
      <c r="A12" s="14" t="s">
        <v>29</v>
      </c>
      <c r="B12" s="54"/>
    </row>
    <row r="13">
      <c r="A13" s="14" t="s">
        <v>18</v>
      </c>
      <c r="B13" s="54"/>
    </row>
    <row r="14">
      <c r="A14" s="14" t="s">
        <v>10</v>
      </c>
      <c r="B14" s="54">
        <f>C14/C32</f>
        <v>0.1282051282</v>
      </c>
      <c r="C14" s="7">
        <v>5.0</v>
      </c>
    </row>
    <row r="15">
      <c r="A15" s="14" t="s">
        <v>575</v>
      </c>
      <c r="B15" s="54"/>
    </row>
    <row r="16">
      <c r="A16" s="14" t="s">
        <v>616</v>
      </c>
      <c r="B16" s="54"/>
    </row>
    <row r="17">
      <c r="A17" s="14" t="s">
        <v>33</v>
      </c>
      <c r="B17" s="54"/>
    </row>
    <row r="18">
      <c r="A18" s="24" t="s">
        <v>462</v>
      </c>
      <c r="B18" s="54">
        <f>C18/C32</f>
        <v>0.02564102564</v>
      </c>
      <c r="C18" s="7">
        <v>1.0</v>
      </c>
    </row>
    <row r="19">
      <c r="A19" s="7" t="s">
        <v>22</v>
      </c>
      <c r="B19" s="54">
        <f>C19/C32</f>
        <v>0.05128205128</v>
      </c>
      <c r="C19" s="7">
        <v>2.0</v>
      </c>
    </row>
    <row r="20">
      <c r="A20" s="7" t="s">
        <v>467</v>
      </c>
      <c r="B20" s="54">
        <f>C20/C32</f>
        <v>0.07692307692</v>
      </c>
      <c r="C20" s="7">
        <v>3.0</v>
      </c>
    </row>
    <row r="21">
      <c r="A21" s="4" t="s">
        <v>12</v>
      </c>
      <c r="B21" s="54">
        <f>C21/C32</f>
        <v>0.1282051282</v>
      </c>
      <c r="C21" s="7">
        <v>5.0</v>
      </c>
    </row>
    <row r="22">
      <c r="A22" s="7" t="s">
        <v>447</v>
      </c>
      <c r="B22" s="54">
        <f>C22/C32</f>
        <v>0.2307692308</v>
      </c>
      <c r="C22" s="7">
        <v>9.0</v>
      </c>
    </row>
    <row r="23">
      <c r="B23" s="54"/>
    </row>
    <row r="24">
      <c r="B24" s="54"/>
    </row>
    <row r="25">
      <c r="A25" s="14" t="s">
        <v>617</v>
      </c>
      <c r="B25" s="54">
        <f>C25/C32</f>
        <v>0.358974359</v>
      </c>
      <c r="C25" s="20">
        <f>C8+C11</f>
        <v>14</v>
      </c>
    </row>
    <row r="26">
      <c r="A26" s="14"/>
      <c r="B26" s="54"/>
    </row>
    <row r="27">
      <c r="A27" s="14" t="s">
        <v>618</v>
      </c>
      <c r="B27" s="54"/>
      <c r="C27" s="7">
        <v>0.0</v>
      </c>
    </row>
    <row r="28">
      <c r="A28" s="14" t="s">
        <v>619</v>
      </c>
      <c r="B28" s="54"/>
    </row>
    <row r="29">
      <c r="A29" s="14"/>
      <c r="B29" s="54"/>
    </row>
    <row r="30">
      <c r="A30" s="14" t="s">
        <v>28</v>
      </c>
      <c r="B30" s="54"/>
    </row>
    <row r="31">
      <c r="B31" s="54"/>
    </row>
    <row r="32">
      <c r="A32" s="7" t="s">
        <v>606</v>
      </c>
      <c r="B32" s="54"/>
      <c r="C32" s="7">
        <v>39.0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65.88"/>
  </cols>
  <sheetData>
    <row r="1">
      <c r="A1" s="80" t="s">
        <v>607</v>
      </c>
      <c r="B1" s="80"/>
      <c r="C1" s="80"/>
      <c r="D1" s="80"/>
      <c r="E1" s="80"/>
      <c r="F1" s="80"/>
      <c r="G1" s="80"/>
      <c r="H1" s="80"/>
      <c r="I1" s="80"/>
      <c r="J1" s="80"/>
      <c r="K1" s="80"/>
      <c r="L1" s="80"/>
      <c r="M1" s="80"/>
      <c r="N1" s="80"/>
      <c r="O1" s="80"/>
      <c r="P1" s="80"/>
      <c r="Q1" s="80"/>
      <c r="R1" s="80"/>
      <c r="S1" s="80"/>
      <c r="T1" s="80"/>
      <c r="U1" s="80"/>
      <c r="V1" s="80"/>
      <c r="W1" s="80"/>
      <c r="X1" s="80"/>
      <c r="Y1" s="80"/>
      <c r="Z1" s="80"/>
    </row>
    <row r="2">
      <c r="A2" s="68" t="s">
        <v>441</v>
      </c>
      <c r="B2" s="69" t="s">
        <v>442</v>
      </c>
      <c r="C2" s="70"/>
      <c r="D2" s="70"/>
      <c r="E2" s="70"/>
      <c r="F2" s="70"/>
      <c r="G2" s="70"/>
      <c r="H2" s="70"/>
      <c r="I2" s="70"/>
      <c r="J2" s="70"/>
      <c r="K2" s="70"/>
      <c r="L2" s="70"/>
      <c r="M2" s="70"/>
      <c r="N2" s="70"/>
      <c r="O2" s="70"/>
      <c r="P2" s="70"/>
      <c r="Q2" s="70"/>
      <c r="R2" s="70"/>
      <c r="S2" s="70"/>
      <c r="T2" s="70"/>
      <c r="U2" s="70"/>
      <c r="V2" s="70"/>
      <c r="W2" s="70"/>
      <c r="X2" s="70"/>
      <c r="Y2" s="70"/>
      <c r="Z2" s="70"/>
    </row>
    <row r="3">
      <c r="A3" s="7" t="s">
        <v>597</v>
      </c>
      <c r="B3" s="71" t="s">
        <v>490</v>
      </c>
    </row>
    <row r="4">
      <c r="A4" s="7" t="s">
        <v>597</v>
      </c>
      <c r="B4" s="71" t="s">
        <v>495</v>
      </c>
    </row>
    <row r="5">
      <c r="A5" s="31" t="s">
        <v>604</v>
      </c>
      <c r="B5" s="71" t="s">
        <v>498</v>
      </c>
    </row>
    <row r="6">
      <c r="A6" s="7" t="s">
        <v>597</v>
      </c>
      <c r="B6" s="71" t="s">
        <v>499</v>
      </c>
    </row>
    <row r="7">
      <c r="A7" s="7" t="s">
        <v>597</v>
      </c>
      <c r="B7" s="71" t="s">
        <v>508</v>
      </c>
    </row>
    <row r="8">
      <c r="A8" s="31" t="s">
        <v>599</v>
      </c>
      <c r="B8" s="71" t="s">
        <v>514</v>
      </c>
    </row>
    <row r="9">
      <c r="A9" s="7" t="s">
        <v>597</v>
      </c>
      <c r="B9" s="71" t="s">
        <v>515</v>
      </c>
    </row>
    <row r="10">
      <c r="A10" s="7" t="s">
        <v>602</v>
      </c>
      <c r="B10" s="71" t="s">
        <v>520</v>
      </c>
    </row>
    <row r="11">
      <c r="A11" s="7" t="s">
        <v>597</v>
      </c>
      <c r="B11" s="71" t="s">
        <v>620</v>
      </c>
    </row>
    <row r="12">
      <c r="A12" s="7" t="s">
        <v>603</v>
      </c>
      <c r="B12" s="71" t="s">
        <v>621</v>
      </c>
    </row>
    <row r="13">
      <c r="A13" s="31" t="s">
        <v>599</v>
      </c>
      <c r="B13" s="71" t="s">
        <v>622</v>
      </c>
    </row>
    <row r="14">
      <c r="A14" s="7" t="s">
        <v>600</v>
      </c>
      <c r="B14" s="71" t="s">
        <v>623</v>
      </c>
    </row>
    <row r="15">
      <c r="A15" s="7" t="s">
        <v>609</v>
      </c>
      <c r="B15" s="71" t="s">
        <v>509</v>
      </c>
    </row>
    <row r="16">
      <c r="A16" s="7" t="s">
        <v>609</v>
      </c>
      <c r="B16" s="71" t="s">
        <v>511</v>
      </c>
    </row>
    <row r="17">
      <c r="A17" s="7" t="s">
        <v>609</v>
      </c>
      <c r="B17" s="71" t="s">
        <v>624</v>
      </c>
    </row>
    <row r="18">
      <c r="A18" s="7" t="s">
        <v>609</v>
      </c>
      <c r="B18" s="71" t="s">
        <v>534</v>
      </c>
    </row>
    <row r="19">
      <c r="A19" s="7" t="s">
        <v>609</v>
      </c>
      <c r="B19" s="71" t="s">
        <v>536</v>
      </c>
    </row>
    <row r="20">
      <c r="A20" s="7" t="s">
        <v>609</v>
      </c>
      <c r="B20" s="71" t="s">
        <v>549</v>
      </c>
    </row>
    <row r="21">
      <c r="A21" s="7" t="s">
        <v>609</v>
      </c>
      <c r="B21" s="71" t="s">
        <v>550</v>
      </c>
    </row>
    <row r="22">
      <c r="A22" s="7" t="s">
        <v>609</v>
      </c>
      <c r="B22" s="71" t="s">
        <v>551</v>
      </c>
    </row>
    <row r="23">
      <c r="A23" s="7" t="s">
        <v>609</v>
      </c>
      <c r="B23" s="71" t="s">
        <v>625</v>
      </c>
    </row>
    <row r="24">
      <c r="A24" s="7" t="s">
        <v>609</v>
      </c>
      <c r="B24" s="71" t="s">
        <v>626</v>
      </c>
    </row>
    <row r="25">
      <c r="A25" s="7" t="s">
        <v>609</v>
      </c>
      <c r="B25" s="71" t="s">
        <v>627</v>
      </c>
    </row>
    <row r="26">
      <c r="A26" s="7" t="s">
        <v>609</v>
      </c>
      <c r="B26" s="71" t="s">
        <v>566</v>
      </c>
    </row>
    <row r="27">
      <c r="A27" s="7" t="s">
        <v>609</v>
      </c>
      <c r="B27" s="71" t="s">
        <v>628</v>
      </c>
    </row>
    <row r="28">
      <c r="A28" s="7" t="s">
        <v>611</v>
      </c>
      <c r="B28" s="71" t="s">
        <v>629</v>
      </c>
    </row>
    <row r="29">
      <c r="A29" s="7" t="s">
        <v>609</v>
      </c>
      <c r="B29" s="71" t="s">
        <v>504</v>
      </c>
    </row>
    <row r="30">
      <c r="A30" s="7" t="s">
        <v>602</v>
      </c>
      <c r="B30" s="71" t="s">
        <v>630</v>
      </c>
    </row>
    <row r="31">
      <c r="A31" s="7" t="s">
        <v>612</v>
      </c>
      <c r="B31" s="71" t="s">
        <v>524</v>
      </c>
    </row>
    <row r="32">
      <c r="A32" s="7" t="s">
        <v>613</v>
      </c>
      <c r="B32" s="71" t="s">
        <v>631</v>
      </c>
    </row>
    <row r="33">
      <c r="A33" s="7" t="s">
        <v>610</v>
      </c>
      <c r="B33" s="71" t="s">
        <v>632</v>
      </c>
    </row>
    <row r="34">
      <c r="A34" s="7" t="s">
        <v>610</v>
      </c>
      <c r="B34" s="71" t="s">
        <v>563</v>
      </c>
    </row>
    <row r="35">
      <c r="B35" s="71"/>
    </row>
    <row r="36">
      <c r="B36" s="71"/>
    </row>
    <row r="37">
      <c r="B37" s="71"/>
    </row>
    <row r="39">
      <c r="B39" s="71"/>
    </row>
    <row r="40">
      <c r="B40" s="72"/>
    </row>
  </sheetData>
  <autoFilter ref="$A$1:$A$998"/>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45.13"/>
    <col customWidth="1" min="3" max="3" width="87.75"/>
  </cols>
  <sheetData>
    <row r="1">
      <c r="A1" s="66"/>
      <c r="B1" s="66" t="s">
        <v>440</v>
      </c>
      <c r="C1" s="66"/>
      <c r="D1" s="66"/>
      <c r="E1" s="66"/>
      <c r="F1" s="66"/>
      <c r="G1" s="66"/>
      <c r="H1" s="66"/>
      <c r="I1" s="66"/>
      <c r="J1" s="66"/>
      <c r="K1" s="66"/>
      <c r="L1" s="66"/>
      <c r="M1" s="66"/>
      <c r="N1" s="66"/>
      <c r="O1" s="66"/>
      <c r="P1" s="66"/>
      <c r="Q1" s="66"/>
      <c r="R1" s="66"/>
      <c r="S1" s="66"/>
      <c r="T1" s="66"/>
      <c r="U1" s="66"/>
      <c r="V1" s="66"/>
      <c r="W1" s="66"/>
      <c r="X1" s="66"/>
      <c r="Y1" s="66"/>
      <c r="Z1" s="66"/>
      <c r="AA1" s="66"/>
    </row>
    <row r="2">
      <c r="A2" s="67"/>
      <c r="B2" s="67"/>
      <c r="C2" s="67"/>
      <c r="D2" s="67"/>
      <c r="E2" s="67"/>
      <c r="F2" s="67"/>
      <c r="G2" s="67"/>
      <c r="H2" s="67"/>
      <c r="I2" s="67"/>
      <c r="J2" s="67"/>
      <c r="K2" s="67"/>
      <c r="L2" s="67"/>
      <c r="M2" s="67"/>
      <c r="N2" s="67"/>
      <c r="O2" s="67"/>
      <c r="P2" s="67"/>
      <c r="Q2" s="67"/>
      <c r="R2" s="67"/>
      <c r="S2" s="67"/>
      <c r="T2" s="67"/>
      <c r="U2" s="67"/>
      <c r="V2" s="67"/>
      <c r="W2" s="67"/>
      <c r="X2" s="67"/>
      <c r="Y2" s="67"/>
      <c r="Z2" s="67"/>
      <c r="AA2" s="67"/>
    </row>
    <row r="3">
      <c r="A3" s="68" t="s">
        <v>633</v>
      </c>
      <c r="B3" s="68" t="s">
        <v>441</v>
      </c>
      <c r="C3" s="69" t="s">
        <v>442</v>
      </c>
      <c r="D3" s="70"/>
      <c r="E3" s="70"/>
      <c r="F3" s="70"/>
      <c r="G3" s="70"/>
      <c r="H3" s="70"/>
      <c r="I3" s="70"/>
      <c r="J3" s="70"/>
      <c r="K3" s="70"/>
      <c r="L3" s="70"/>
      <c r="M3" s="70"/>
      <c r="N3" s="70"/>
      <c r="O3" s="70"/>
      <c r="P3" s="70"/>
      <c r="Q3" s="70"/>
      <c r="R3" s="70"/>
      <c r="S3" s="70"/>
      <c r="T3" s="70"/>
      <c r="U3" s="70"/>
      <c r="V3" s="70"/>
      <c r="W3" s="70"/>
      <c r="X3" s="70"/>
      <c r="Y3" s="70"/>
      <c r="Z3" s="70"/>
      <c r="AA3" s="70"/>
    </row>
    <row r="4">
      <c r="A4" s="7"/>
      <c r="B4" s="7" t="s">
        <v>604</v>
      </c>
      <c r="C4" s="71" t="s">
        <v>443</v>
      </c>
    </row>
    <row r="5">
      <c r="A5" s="7"/>
      <c r="B5" s="7" t="s">
        <v>597</v>
      </c>
      <c r="C5" s="71" t="s">
        <v>444</v>
      </c>
    </row>
    <row r="6">
      <c r="A6" s="7" t="s">
        <v>597</v>
      </c>
      <c r="B6" s="7" t="s">
        <v>599</v>
      </c>
      <c r="C6" s="71" t="s">
        <v>445</v>
      </c>
    </row>
    <row r="7">
      <c r="A7" s="7"/>
      <c r="B7" s="7" t="s">
        <v>597</v>
      </c>
      <c r="C7" s="71" t="s">
        <v>446</v>
      </c>
    </row>
    <row r="8">
      <c r="A8" s="7"/>
      <c r="B8" s="7" t="s">
        <v>603</v>
      </c>
      <c r="C8" s="71" t="s">
        <v>448</v>
      </c>
    </row>
    <row r="9">
      <c r="B9" s="7" t="s">
        <v>597</v>
      </c>
      <c r="C9" s="71" t="s">
        <v>449</v>
      </c>
    </row>
    <row r="10">
      <c r="A10" s="7"/>
      <c r="B10" s="7" t="s">
        <v>597</v>
      </c>
      <c r="C10" s="71" t="s">
        <v>450</v>
      </c>
    </row>
    <row r="11">
      <c r="A11" s="7"/>
      <c r="B11" s="7" t="s">
        <v>597</v>
      </c>
      <c r="C11" s="71" t="s">
        <v>451</v>
      </c>
    </row>
    <row r="12">
      <c r="A12" s="7"/>
      <c r="B12" s="7" t="s">
        <v>597</v>
      </c>
      <c r="C12" s="71" t="s">
        <v>452</v>
      </c>
    </row>
    <row r="13">
      <c r="A13" s="7"/>
      <c r="B13" s="7" t="s">
        <v>597</v>
      </c>
      <c r="C13" s="71" t="s">
        <v>453</v>
      </c>
    </row>
    <row r="14">
      <c r="A14" s="7"/>
      <c r="B14" s="7" t="s">
        <v>597</v>
      </c>
      <c r="C14" s="71" t="s">
        <v>454</v>
      </c>
    </row>
    <row r="15">
      <c r="A15" s="7"/>
      <c r="B15" s="7" t="s">
        <v>600</v>
      </c>
      <c r="C15" s="71" t="s">
        <v>455</v>
      </c>
    </row>
    <row r="16">
      <c r="A16" s="7"/>
      <c r="B16" s="7" t="s">
        <v>597</v>
      </c>
      <c r="C16" s="71" t="s">
        <v>456</v>
      </c>
    </row>
    <row r="17">
      <c r="A17" s="7"/>
      <c r="B17" s="7" t="s">
        <v>597</v>
      </c>
      <c r="C17" s="71" t="s">
        <v>457</v>
      </c>
    </row>
    <row r="18">
      <c r="A18" s="7" t="s">
        <v>597</v>
      </c>
      <c r="B18" s="7" t="s">
        <v>599</v>
      </c>
      <c r="C18" s="71" t="s">
        <v>458</v>
      </c>
    </row>
    <row r="19">
      <c r="A19" s="7"/>
      <c r="B19" s="7" t="s">
        <v>597</v>
      </c>
      <c r="C19" s="71" t="s">
        <v>459</v>
      </c>
    </row>
    <row r="20">
      <c r="B20" s="7" t="s">
        <v>597</v>
      </c>
      <c r="C20" s="71" t="s">
        <v>460</v>
      </c>
    </row>
    <row r="21">
      <c r="A21" s="7" t="s">
        <v>597</v>
      </c>
      <c r="B21" s="7" t="s">
        <v>599</v>
      </c>
      <c r="C21" s="71" t="s">
        <v>461</v>
      </c>
    </row>
    <row r="22">
      <c r="A22" s="7"/>
      <c r="B22" s="7" t="s">
        <v>605</v>
      </c>
      <c r="C22" s="71" t="s">
        <v>463</v>
      </c>
    </row>
    <row r="23">
      <c r="A23" s="7"/>
      <c r="B23" s="7" t="s">
        <v>603</v>
      </c>
      <c r="C23" s="71" t="s">
        <v>464</v>
      </c>
    </row>
    <row r="24">
      <c r="B24" s="7" t="s">
        <v>600</v>
      </c>
      <c r="C24" s="71" t="s">
        <v>465</v>
      </c>
    </row>
    <row r="25">
      <c r="A25" s="7" t="s">
        <v>602</v>
      </c>
      <c r="B25" s="7" t="s">
        <v>597</v>
      </c>
      <c r="C25" s="71" t="s">
        <v>466</v>
      </c>
    </row>
    <row r="26">
      <c r="A26" s="7"/>
      <c r="B26" s="7" t="s">
        <v>599</v>
      </c>
      <c r="C26" s="71" t="s">
        <v>468</v>
      </c>
    </row>
    <row r="27">
      <c r="A27" s="7"/>
      <c r="B27" s="7" t="s">
        <v>599</v>
      </c>
      <c r="C27" s="71" t="s">
        <v>469</v>
      </c>
    </row>
    <row r="28">
      <c r="B28" s="7" t="s">
        <v>600</v>
      </c>
      <c r="C28" s="71" t="s">
        <v>470</v>
      </c>
    </row>
    <row r="29">
      <c r="B29" s="7" t="s">
        <v>600</v>
      </c>
      <c r="C29" s="71" t="s">
        <v>471</v>
      </c>
    </row>
    <row r="30">
      <c r="A30" s="7"/>
      <c r="B30" s="7" t="s">
        <v>599</v>
      </c>
      <c r="C30" s="71" t="s">
        <v>472</v>
      </c>
    </row>
    <row r="31">
      <c r="A31" s="7" t="s">
        <v>602</v>
      </c>
      <c r="B31" s="7" t="s">
        <v>599</v>
      </c>
      <c r="C31" s="71" t="s">
        <v>473</v>
      </c>
    </row>
    <row r="32">
      <c r="B32" s="7" t="s">
        <v>600</v>
      </c>
      <c r="C32" s="71" t="s">
        <v>474</v>
      </c>
    </row>
    <row r="33">
      <c r="A33" s="7"/>
      <c r="B33" s="7" t="s">
        <v>602</v>
      </c>
      <c r="C33" s="71" t="s">
        <v>475</v>
      </c>
    </row>
    <row r="34">
      <c r="A34" s="7"/>
      <c r="B34" s="7" t="s">
        <v>599</v>
      </c>
      <c r="C34" s="71" t="s">
        <v>476</v>
      </c>
    </row>
    <row r="35">
      <c r="A35" s="7" t="s">
        <v>597</v>
      </c>
      <c r="B35" s="7" t="s">
        <v>599</v>
      </c>
      <c r="C35" s="71" t="s">
        <v>477</v>
      </c>
    </row>
    <row r="36">
      <c r="A36" s="7" t="s">
        <v>600</v>
      </c>
      <c r="B36" s="7" t="s">
        <v>599</v>
      </c>
      <c r="C36" s="71" t="s">
        <v>478</v>
      </c>
    </row>
    <row r="37">
      <c r="B37" s="7" t="s">
        <v>602</v>
      </c>
      <c r="C37" s="71" t="s">
        <v>479</v>
      </c>
    </row>
    <row r="38">
      <c r="B38" s="7" t="s">
        <v>602</v>
      </c>
      <c r="C38" s="71" t="s">
        <v>480</v>
      </c>
    </row>
    <row r="39">
      <c r="B39" s="7" t="s">
        <v>603</v>
      </c>
      <c r="C39" s="71" t="s">
        <v>481</v>
      </c>
    </row>
    <row r="40">
      <c r="A40" s="7" t="s">
        <v>600</v>
      </c>
      <c r="B40" s="7" t="s">
        <v>597</v>
      </c>
      <c r="C40" s="71" t="s">
        <v>482</v>
      </c>
    </row>
    <row r="41">
      <c r="A41" s="7" t="s">
        <v>600</v>
      </c>
      <c r="B41" s="7" t="s">
        <v>599</v>
      </c>
      <c r="C41" s="71" t="s">
        <v>483</v>
      </c>
    </row>
    <row r="42">
      <c r="A42" s="7" t="s">
        <v>634</v>
      </c>
      <c r="B42" s="7" t="s">
        <v>600</v>
      </c>
      <c r="C42" s="71" t="s">
        <v>484</v>
      </c>
    </row>
    <row r="43">
      <c r="C43" s="72"/>
    </row>
    <row r="44">
      <c r="C44" s="72"/>
    </row>
    <row r="45">
      <c r="C45" s="72"/>
    </row>
    <row r="46">
      <c r="C46" s="72"/>
    </row>
    <row r="47">
      <c r="C47" s="72"/>
    </row>
    <row r="48">
      <c r="C48" s="72"/>
    </row>
    <row r="49">
      <c r="C49" s="72"/>
    </row>
    <row r="50">
      <c r="C50" s="72"/>
    </row>
    <row r="51">
      <c r="C51" s="72"/>
    </row>
    <row r="52">
      <c r="C52" s="72"/>
    </row>
    <row r="53">
      <c r="C53" s="72"/>
    </row>
    <row r="54">
      <c r="C54" s="72"/>
    </row>
    <row r="55">
      <c r="C55" s="72"/>
    </row>
    <row r="56">
      <c r="C56" s="72"/>
    </row>
    <row r="57">
      <c r="C57" s="72"/>
    </row>
    <row r="58">
      <c r="C58" s="72"/>
    </row>
    <row r="59">
      <c r="C59" s="72"/>
    </row>
    <row r="60">
      <c r="C60" s="72"/>
    </row>
    <row r="61">
      <c r="C61" s="72"/>
    </row>
    <row r="62">
      <c r="C62" s="72"/>
    </row>
    <row r="63">
      <c r="C63" s="72"/>
    </row>
    <row r="64">
      <c r="C64" s="72"/>
    </row>
    <row r="65">
      <c r="C65" s="72"/>
    </row>
    <row r="66">
      <c r="C66" s="72"/>
    </row>
    <row r="67">
      <c r="C67" s="72"/>
    </row>
    <row r="68">
      <c r="C68" s="72"/>
    </row>
    <row r="69">
      <c r="C69" s="72"/>
    </row>
    <row r="70">
      <c r="C70" s="72"/>
    </row>
    <row r="71">
      <c r="C71" s="72"/>
    </row>
    <row r="72">
      <c r="C72" s="72"/>
    </row>
    <row r="73">
      <c r="C73" s="72"/>
    </row>
    <row r="74">
      <c r="C74" s="72"/>
    </row>
    <row r="75">
      <c r="C75" s="72"/>
    </row>
    <row r="76">
      <c r="C76" s="72"/>
    </row>
    <row r="77">
      <c r="C77" s="72"/>
    </row>
    <row r="78">
      <c r="C78" s="72"/>
    </row>
    <row r="79">
      <c r="C79" s="72"/>
    </row>
    <row r="80">
      <c r="C80" s="72"/>
    </row>
    <row r="81">
      <c r="C81" s="72"/>
    </row>
    <row r="82">
      <c r="C82" s="72"/>
    </row>
    <row r="83">
      <c r="C83" s="72"/>
    </row>
    <row r="84">
      <c r="C84" s="72"/>
    </row>
    <row r="85">
      <c r="C85" s="72"/>
    </row>
    <row r="86">
      <c r="C86" s="72"/>
    </row>
    <row r="87">
      <c r="C87" s="72"/>
    </row>
    <row r="88">
      <c r="C88" s="72"/>
    </row>
    <row r="89">
      <c r="C89" s="72"/>
    </row>
    <row r="90">
      <c r="C90" s="72"/>
    </row>
    <row r="91">
      <c r="C91" s="72"/>
    </row>
    <row r="92">
      <c r="C92" s="72"/>
    </row>
    <row r="93">
      <c r="C93" s="72"/>
    </row>
    <row r="94">
      <c r="C94" s="72"/>
    </row>
    <row r="95">
      <c r="C95" s="72"/>
    </row>
    <row r="96">
      <c r="C96" s="72"/>
    </row>
    <row r="97">
      <c r="C97" s="72"/>
    </row>
    <row r="98">
      <c r="C98" s="72"/>
    </row>
    <row r="99">
      <c r="C99" s="72"/>
    </row>
    <row r="100">
      <c r="C100" s="72"/>
    </row>
    <row r="101">
      <c r="C101" s="72"/>
    </row>
    <row r="102">
      <c r="C102" s="72"/>
    </row>
    <row r="103">
      <c r="C103" s="72"/>
    </row>
    <row r="104">
      <c r="C104" s="72"/>
    </row>
    <row r="105">
      <c r="C105" s="72"/>
    </row>
    <row r="106">
      <c r="C106" s="72"/>
    </row>
    <row r="107">
      <c r="C107" s="72"/>
    </row>
    <row r="108">
      <c r="C108" s="72"/>
    </row>
    <row r="109">
      <c r="C109" s="72"/>
    </row>
    <row r="110">
      <c r="C110" s="72"/>
    </row>
    <row r="111">
      <c r="C111" s="72"/>
    </row>
    <row r="112">
      <c r="C112" s="72"/>
    </row>
    <row r="113">
      <c r="C113" s="72"/>
    </row>
    <row r="114">
      <c r="C114" s="72"/>
    </row>
    <row r="115">
      <c r="C115" s="72"/>
    </row>
    <row r="116">
      <c r="C116" s="72"/>
    </row>
    <row r="117">
      <c r="C117" s="72"/>
    </row>
    <row r="118">
      <c r="C118" s="72"/>
    </row>
    <row r="119">
      <c r="C119" s="72"/>
    </row>
    <row r="120">
      <c r="C120" s="72"/>
    </row>
    <row r="121">
      <c r="C121" s="72"/>
    </row>
    <row r="122">
      <c r="C122" s="72"/>
    </row>
    <row r="123">
      <c r="C123" s="72"/>
    </row>
    <row r="124">
      <c r="C124" s="72"/>
    </row>
    <row r="125">
      <c r="C125" s="72"/>
    </row>
    <row r="126">
      <c r="C126" s="72"/>
    </row>
    <row r="127">
      <c r="C127" s="72"/>
    </row>
    <row r="128">
      <c r="C128" s="72"/>
    </row>
    <row r="129">
      <c r="C129" s="72"/>
    </row>
    <row r="130">
      <c r="C130" s="72"/>
    </row>
    <row r="131">
      <c r="C131" s="72"/>
    </row>
    <row r="132">
      <c r="C132" s="72"/>
    </row>
    <row r="133">
      <c r="C133" s="72"/>
    </row>
    <row r="134">
      <c r="C134" s="72"/>
    </row>
    <row r="135">
      <c r="C135" s="72"/>
    </row>
    <row r="136">
      <c r="C136" s="72"/>
    </row>
    <row r="137">
      <c r="C137" s="72"/>
    </row>
    <row r="138">
      <c r="C138" s="72"/>
    </row>
    <row r="139">
      <c r="C139" s="72"/>
    </row>
    <row r="140">
      <c r="C140" s="72"/>
    </row>
    <row r="141">
      <c r="C141" s="72"/>
    </row>
    <row r="142">
      <c r="C142" s="72"/>
    </row>
    <row r="143">
      <c r="C143" s="72"/>
    </row>
    <row r="144">
      <c r="C144" s="72"/>
    </row>
    <row r="145">
      <c r="C145" s="72"/>
    </row>
    <row r="146">
      <c r="C146" s="72"/>
    </row>
    <row r="147">
      <c r="C147" s="72"/>
    </row>
    <row r="148">
      <c r="C148" s="72"/>
    </row>
    <row r="149">
      <c r="C149" s="72"/>
    </row>
    <row r="150">
      <c r="C150" s="72"/>
    </row>
    <row r="151">
      <c r="C151" s="72"/>
    </row>
    <row r="152">
      <c r="C152" s="72"/>
    </row>
    <row r="153">
      <c r="C153" s="72"/>
    </row>
    <row r="154">
      <c r="C154" s="72"/>
    </row>
    <row r="155">
      <c r="C155" s="72"/>
    </row>
    <row r="156">
      <c r="C156" s="72"/>
    </row>
    <row r="157">
      <c r="C157" s="72"/>
    </row>
    <row r="158">
      <c r="C158" s="72"/>
    </row>
    <row r="159">
      <c r="C159" s="72"/>
    </row>
    <row r="160">
      <c r="C160" s="72"/>
    </row>
    <row r="161">
      <c r="C161" s="72"/>
    </row>
    <row r="162">
      <c r="C162" s="72"/>
    </row>
    <row r="163">
      <c r="C163" s="72"/>
    </row>
    <row r="164">
      <c r="C164" s="72"/>
    </row>
    <row r="165">
      <c r="C165" s="72"/>
    </row>
    <row r="166">
      <c r="C166" s="72"/>
    </row>
    <row r="167">
      <c r="C167" s="72"/>
    </row>
    <row r="168">
      <c r="C168" s="72"/>
    </row>
    <row r="169">
      <c r="C169" s="72"/>
    </row>
    <row r="170">
      <c r="C170" s="72"/>
    </row>
    <row r="171">
      <c r="C171" s="72"/>
    </row>
    <row r="172">
      <c r="C172" s="72"/>
    </row>
    <row r="173">
      <c r="C173" s="72"/>
    </row>
    <row r="174">
      <c r="C174" s="72"/>
    </row>
    <row r="175">
      <c r="C175" s="72"/>
    </row>
    <row r="176">
      <c r="C176" s="72"/>
    </row>
    <row r="177">
      <c r="C177" s="72"/>
    </row>
    <row r="178">
      <c r="C178" s="72"/>
    </row>
    <row r="179">
      <c r="C179" s="72"/>
    </row>
    <row r="180">
      <c r="C180" s="72"/>
    </row>
    <row r="181">
      <c r="C181" s="72"/>
    </row>
    <row r="182">
      <c r="C182" s="72"/>
    </row>
    <row r="183">
      <c r="C183" s="72"/>
    </row>
    <row r="184">
      <c r="C184" s="72"/>
    </row>
    <row r="185">
      <c r="C185" s="72"/>
    </row>
    <row r="186">
      <c r="C186" s="72"/>
    </row>
    <row r="187">
      <c r="C187" s="72"/>
    </row>
    <row r="188">
      <c r="C188" s="72"/>
    </row>
    <row r="189">
      <c r="C189" s="72"/>
    </row>
    <row r="190">
      <c r="C190" s="72"/>
    </row>
    <row r="191">
      <c r="C191" s="72"/>
    </row>
    <row r="192">
      <c r="C192" s="72"/>
    </row>
    <row r="193">
      <c r="C193" s="72"/>
    </row>
    <row r="194">
      <c r="C194" s="72"/>
    </row>
    <row r="195">
      <c r="C195" s="72"/>
    </row>
    <row r="196">
      <c r="C196" s="72"/>
    </row>
    <row r="197">
      <c r="C197" s="72"/>
    </row>
    <row r="198">
      <c r="C198" s="72"/>
    </row>
    <row r="199">
      <c r="C199" s="72"/>
    </row>
    <row r="200">
      <c r="C200" s="72"/>
    </row>
    <row r="201">
      <c r="C201" s="72"/>
    </row>
    <row r="202">
      <c r="C202" s="72"/>
    </row>
    <row r="203">
      <c r="C203" s="72"/>
    </row>
    <row r="204">
      <c r="C204" s="72"/>
    </row>
    <row r="205">
      <c r="C205" s="72"/>
    </row>
    <row r="206">
      <c r="C206" s="72"/>
    </row>
    <row r="207">
      <c r="C207" s="72"/>
    </row>
    <row r="208">
      <c r="C208" s="72"/>
    </row>
    <row r="209">
      <c r="C209" s="72"/>
    </row>
    <row r="210">
      <c r="C210" s="72"/>
    </row>
    <row r="211">
      <c r="C211" s="72"/>
    </row>
    <row r="212">
      <c r="C212" s="72"/>
    </row>
    <row r="213">
      <c r="C213" s="72"/>
    </row>
    <row r="214">
      <c r="C214" s="72"/>
    </row>
    <row r="215">
      <c r="C215" s="72"/>
    </row>
    <row r="216">
      <c r="C216" s="72"/>
    </row>
    <row r="217">
      <c r="C217" s="72"/>
    </row>
    <row r="218">
      <c r="C218" s="72"/>
    </row>
    <row r="219">
      <c r="C219" s="72"/>
    </row>
    <row r="220">
      <c r="C220" s="72"/>
    </row>
    <row r="221">
      <c r="C221" s="72"/>
    </row>
    <row r="222">
      <c r="C222" s="72"/>
    </row>
    <row r="223">
      <c r="C223" s="72"/>
    </row>
    <row r="224">
      <c r="C224" s="72"/>
    </row>
    <row r="225">
      <c r="C225" s="72"/>
    </row>
    <row r="226">
      <c r="C226" s="72"/>
    </row>
    <row r="227">
      <c r="C227" s="72"/>
    </row>
    <row r="228">
      <c r="C228" s="72"/>
    </row>
    <row r="229">
      <c r="C229" s="72"/>
    </row>
    <row r="230">
      <c r="C230" s="72"/>
    </row>
    <row r="231">
      <c r="C231" s="72"/>
    </row>
    <row r="232">
      <c r="C232" s="72"/>
    </row>
    <row r="233">
      <c r="C233" s="72"/>
    </row>
    <row r="234">
      <c r="C234" s="72"/>
    </row>
    <row r="235">
      <c r="C235" s="72"/>
    </row>
    <row r="236">
      <c r="C236" s="72"/>
    </row>
    <row r="237">
      <c r="C237" s="72"/>
    </row>
    <row r="238">
      <c r="C238" s="72"/>
    </row>
    <row r="239">
      <c r="C239" s="72"/>
    </row>
    <row r="240">
      <c r="C240" s="72"/>
    </row>
    <row r="241">
      <c r="C241" s="72"/>
    </row>
    <row r="242">
      <c r="C242" s="72"/>
    </row>
    <row r="243">
      <c r="C243" s="72"/>
    </row>
    <row r="244">
      <c r="C244" s="72"/>
    </row>
    <row r="245">
      <c r="C245" s="72"/>
    </row>
    <row r="246">
      <c r="C246" s="72"/>
    </row>
    <row r="247">
      <c r="C247" s="72"/>
    </row>
    <row r="248">
      <c r="C248" s="72"/>
    </row>
    <row r="249">
      <c r="C249" s="72"/>
    </row>
    <row r="250">
      <c r="C250" s="72"/>
    </row>
    <row r="251">
      <c r="C251" s="72"/>
    </row>
    <row r="252">
      <c r="C252" s="72"/>
    </row>
    <row r="253">
      <c r="C253" s="72"/>
    </row>
    <row r="254">
      <c r="C254" s="72"/>
    </row>
    <row r="255">
      <c r="C255" s="72"/>
    </row>
    <row r="256">
      <c r="C256" s="72"/>
    </row>
    <row r="257">
      <c r="C257" s="72"/>
    </row>
    <row r="258">
      <c r="C258" s="72"/>
    </row>
    <row r="259">
      <c r="C259" s="72"/>
    </row>
    <row r="260">
      <c r="C260" s="72"/>
    </row>
    <row r="261">
      <c r="C261" s="72"/>
    </row>
    <row r="262">
      <c r="C262" s="72"/>
    </row>
    <row r="263">
      <c r="C263" s="72"/>
    </row>
    <row r="264">
      <c r="C264" s="72"/>
    </row>
    <row r="265">
      <c r="C265" s="72"/>
    </row>
    <row r="266">
      <c r="C266" s="72"/>
    </row>
    <row r="267">
      <c r="C267" s="72"/>
    </row>
    <row r="268">
      <c r="C268" s="72"/>
    </row>
    <row r="269">
      <c r="C269" s="72"/>
    </row>
    <row r="270">
      <c r="C270" s="72"/>
    </row>
    <row r="271">
      <c r="C271" s="72"/>
    </row>
    <row r="272">
      <c r="C272" s="72"/>
    </row>
    <row r="273">
      <c r="C273" s="72"/>
    </row>
    <row r="274">
      <c r="C274" s="72"/>
    </row>
    <row r="275">
      <c r="C275" s="72"/>
    </row>
    <row r="276">
      <c r="C276" s="72"/>
    </row>
    <row r="277">
      <c r="C277" s="72"/>
    </row>
    <row r="278">
      <c r="C278" s="72"/>
    </row>
    <row r="279">
      <c r="C279" s="72"/>
    </row>
    <row r="280">
      <c r="C280" s="72"/>
    </row>
    <row r="281">
      <c r="C281" s="72"/>
    </row>
    <row r="282">
      <c r="C282" s="72"/>
    </row>
    <row r="283">
      <c r="C283" s="72"/>
    </row>
    <row r="284">
      <c r="C284" s="72"/>
    </row>
    <row r="285">
      <c r="C285" s="72"/>
    </row>
    <row r="286">
      <c r="C286" s="72"/>
    </row>
    <row r="287">
      <c r="C287" s="72"/>
    </row>
    <row r="288">
      <c r="C288" s="72"/>
    </row>
    <row r="289">
      <c r="C289" s="72"/>
    </row>
    <row r="290">
      <c r="C290" s="72"/>
    </row>
    <row r="291">
      <c r="C291" s="72"/>
    </row>
    <row r="292">
      <c r="C292" s="72"/>
    </row>
    <row r="293">
      <c r="C293" s="72"/>
    </row>
    <row r="294">
      <c r="C294" s="72"/>
    </row>
    <row r="295">
      <c r="C295" s="72"/>
    </row>
    <row r="296">
      <c r="C296" s="72"/>
    </row>
    <row r="297">
      <c r="C297" s="72"/>
    </row>
    <row r="298">
      <c r="C298" s="72"/>
    </row>
    <row r="299">
      <c r="C299" s="72"/>
    </row>
    <row r="300">
      <c r="C300" s="72"/>
    </row>
    <row r="301">
      <c r="C301" s="72"/>
    </row>
    <row r="302">
      <c r="C302" s="72"/>
    </row>
    <row r="303">
      <c r="C303" s="72"/>
    </row>
    <row r="304">
      <c r="C304" s="72"/>
    </row>
    <row r="305">
      <c r="C305" s="72"/>
    </row>
    <row r="306">
      <c r="C306" s="72"/>
    </row>
    <row r="307">
      <c r="C307" s="72"/>
    </row>
    <row r="308">
      <c r="C308" s="72"/>
    </row>
    <row r="309">
      <c r="C309" s="72"/>
    </row>
    <row r="310">
      <c r="C310" s="72"/>
    </row>
    <row r="311">
      <c r="C311" s="72"/>
    </row>
    <row r="312">
      <c r="C312" s="72"/>
    </row>
    <row r="313">
      <c r="C313" s="72"/>
    </row>
    <row r="314">
      <c r="C314" s="72"/>
    </row>
    <row r="315">
      <c r="C315" s="72"/>
    </row>
    <row r="316">
      <c r="C316" s="72"/>
    </row>
    <row r="317">
      <c r="C317" s="72"/>
    </row>
    <row r="318">
      <c r="C318" s="72"/>
    </row>
    <row r="319">
      <c r="C319" s="72"/>
    </row>
    <row r="320">
      <c r="C320" s="72"/>
    </row>
    <row r="321">
      <c r="C321" s="72"/>
    </row>
    <row r="322">
      <c r="C322" s="72"/>
    </row>
    <row r="323">
      <c r="C323" s="72"/>
    </row>
    <row r="324">
      <c r="C324" s="72"/>
    </row>
    <row r="325">
      <c r="C325" s="72"/>
    </row>
    <row r="326">
      <c r="C326" s="72"/>
    </row>
    <row r="327">
      <c r="C327" s="72"/>
    </row>
    <row r="328">
      <c r="C328" s="72"/>
    </row>
    <row r="329">
      <c r="C329" s="72"/>
    </row>
    <row r="330">
      <c r="C330" s="72"/>
    </row>
    <row r="331">
      <c r="C331" s="72"/>
    </row>
    <row r="332">
      <c r="C332" s="72"/>
    </row>
    <row r="333">
      <c r="C333" s="72"/>
    </row>
    <row r="334">
      <c r="C334" s="72"/>
    </row>
    <row r="335">
      <c r="C335" s="72"/>
    </row>
    <row r="336">
      <c r="C336" s="72"/>
    </row>
    <row r="337">
      <c r="C337" s="72"/>
    </row>
    <row r="338">
      <c r="C338" s="72"/>
    </row>
    <row r="339">
      <c r="C339" s="72"/>
    </row>
    <row r="340">
      <c r="C340" s="72"/>
    </row>
    <row r="341">
      <c r="C341" s="72"/>
    </row>
    <row r="342">
      <c r="C342" s="72"/>
    </row>
    <row r="343">
      <c r="C343" s="72"/>
    </row>
    <row r="344">
      <c r="C344" s="72"/>
    </row>
    <row r="345">
      <c r="C345" s="72"/>
    </row>
    <row r="346">
      <c r="C346" s="72"/>
    </row>
    <row r="347">
      <c r="C347" s="72"/>
    </row>
    <row r="348">
      <c r="C348" s="72"/>
    </row>
    <row r="349">
      <c r="C349" s="72"/>
    </row>
    <row r="350">
      <c r="C350" s="72"/>
    </row>
    <row r="351">
      <c r="C351" s="72"/>
    </row>
    <row r="352">
      <c r="C352" s="72"/>
    </row>
    <row r="353">
      <c r="C353" s="72"/>
    </row>
    <row r="354">
      <c r="C354" s="72"/>
    </row>
    <row r="355">
      <c r="C355" s="72"/>
    </row>
    <row r="356">
      <c r="C356" s="72"/>
    </row>
    <row r="357">
      <c r="C357" s="72"/>
    </row>
    <row r="358">
      <c r="C358" s="72"/>
    </row>
    <row r="359">
      <c r="C359" s="72"/>
    </row>
    <row r="360">
      <c r="C360" s="72"/>
    </row>
    <row r="361">
      <c r="C361" s="72"/>
    </row>
    <row r="362">
      <c r="C362" s="72"/>
    </row>
    <row r="363">
      <c r="C363" s="72"/>
    </row>
    <row r="364">
      <c r="C364" s="72"/>
    </row>
    <row r="365">
      <c r="C365" s="72"/>
    </row>
    <row r="366">
      <c r="C366" s="72"/>
    </row>
    <row r="367">
      <c r="C367" s="72"/>
    </row>
    <row r="368">
      <c r="C368" s="72"/>
    </row>
    <row r="369">
      <c r="C369" s="72"/>
    </row>
    <row r="370">
      <c r="C370" s="72"/>
    </row>
    <row r="371">
      <c r="C371" s="72"/>
    </row>
    <row r="372">
      <c r="C372" s="72"/>
    </row>
    <row r="373">
      <c r="C373" s="72"/>
    </row>
    <row r="374">
      <c r="C374" s="72"/>
    </row>
    <row r="375">
      <c r="C375" s="72"/>
    </row>
    <row r="376">
      <c r="C376" s="72"/>
    </row>
    <row r="377">
      <c r="C377" s="72"/>
    </row>
    <row r="378">
      <c r="C378" s="72"/>
    </row>
    <row r="379">
      <c r="C379" s="72"/>
    </row>
    <row r="380">
      <c r="C380" s="72"/>
    </row>
    <row r="381">
      <c r="C381" s="72"/>
    </row>
    <row r="382">
      <c r="C382" s="72"/>
    </row>
    <row r="383">
      <c r="C383" s="72"/>
    </row>
    <row r="384">
      <c r="C384" s="72"/>
    </row>
    <row r="385">
      <c r="C385" s="72"/>
    </row>
    <row r="386">
      <c r="C386" s="72"/>
    </row>
    <row r="387">
      <c r="C387" s="72"/>
    </row>
    <row r="388">
      <c r="C388" s="72"/>
    </row>
    <row r="389">
      <c r="C389" s="72"/>
    </row>
    <row r="390">
      <c r="C390" s="72"/>
    </row>
    <row r="391">
      <c r="C391" s="72"/>
    </row>
    <row r="392">
      <c r="C392" s="72"/>
    </row>
    <row r="393">
      <c r="C393" s="72"/>
    </row>
    <row r="394">
      <c r="C394" s="72"/>
    </row>
    <row r="395">
      <c r="C395" s="72"/>
    </row>
    <row r="396">
      <c r="C396" s="72"/>
    </row>
    <row r="397">
      <c r="C397" s="72"/>
    </row>
    <row r="398">
      <c r="C398" s="72"/>
    </row>
    <row r="399">
      <c r="C399" s="72"/>
    </row>
    <row r="400">
      <c r="C400" s="72"/>
    </row>
    <row r="401">
      <c r="C401" s="72"/>
    </row>
    <row r="402">
      <c r="C402" s="72"/>
    </row>
    <row r="403">
      <c r="C403" s="72"/>
    </row>
    <row r="404">
      <c r="C404" s="72"/>
    </row>
    <row r="405">
      <c r="C405" s="72"/>
    </row>
    <row r="406">
      <c r="C406" s="72"/>
    </row>
    <row r="407">
      <c r="C407" s="72"/>
    </row>
    <row r="408">
      <c r="C408" s="72"/>
    </row>
    <row r="409">
      <c r="C409" s="72"/>
    </row>
    <row r="410">
      <c r="C410" s="72"/>
    </row>
    <row r="411">
      <c r="C411" s="72"/>
    </row>
    <row r="412">
      <c r="C412" s="72"/>
    </row>
    <row r="413">
      <c r="C413" s="72"/>
    </row>
    <row r="414">
      <c r="C414" s="72"/>
    </row>
    <row r="415">
      <c r="C415" s="72"/>
    </row>
    <row r="416">
      <c r="C416" s="72"/>
    </row>
    <row r="417">
      <c r="C417" s="72"/>
    </row>
    <row r="418">
      <c r="C418" s="72"/>
    </row>
    <row r="419">
      <c r="C419" s="72"/>
    </row>
    <row r="420">
      <c r="C420" s="72"/>
    </row>
    <row r="421">
      <c r="C421" s="72"/>
    </row>
    <row r="422">
      <c r="C422" s="72"/>
    </row>
    <row r="423">
      <c r="C423" s="72"/>
    </row>
    <row r="424">
      <c r="C424" s="72"/>
    </row>
    <row r="425">
      <c r="C425" s="72"/>
    </row>
    <row r="426">
      <c r="C426" s="72"/>
    </row>
    <row r="427">
      <c r="C427" s="72"/>
    </row>
    <row r="428">
      <c r="C428" s="72"/>
    </row>
    <row r="429">
      <c r="C429" s="72"/>
    </row>
    <row r="430">
      <c r="C430" s="72"/>
    </row>
    <row r="431">
      <c r="C431" s="72"/>
    </row>
    <row r="432">
      <c r="C432" s="72"/>
    </row>
    <row r="433">
      <c r="C433" s="72"/>
    </row>
    <row r="434">
      <c r="C434" s="72"/>
    </row>
    <row r="435">
      <c r="C435" s="72"/>
    </row>
    <row r="436">
      <c r="C436" s="72"/>
    </row>
    <row r="437">
      <c r="C437" s="72"/>
    </row>
    <row r="438">
      <c r="C438" s="72"/>
    </row>
    <row r="439">
      <c r="C439" s="72"/>
    </row>
    <row r="440">
      <c r="C440" s="72"/>
    </row>
    <row r="441">
      <c r="C441" s="72"/>
    </row>
    <row r="442">
      <c r="C442" s="72"/>
    </row>
    <row r="443">
      <c r="C443" s="72"/>
    </row>
    <row r="444">
      <c r="C444" s="72"/>
    </row>
    <row r="445">
      <c r="C445" s="72"/>
    </row>
    <row r="446">
      <c r="C446" s="72"/>
    </row>
    <row r="447">
      <c r="C447" s="72"/>
    </row>
    <row r="448">
      <c r="C448" s="72"/>
    </row>
    <row r="449">
      <c r="C449" s="72"/>
    </row>
    <row r="450">
      <c r="C450" s="72"/>
    </row>
    <row r="451">
      <c r="C451" s="72"/>
    </row>
    <row r="452">
      <c r="C452" s="72"/>
    </row>
    <row r="453">
      <c r="C453" s="72"/>
    </row>
    <row r="454">
      <c r="C454" s="72"/>
    </row>
    <row r="455">
      <c r="C455" s="72"/>
    </row>
    <row r="456">
      <c r="C456" s="72"/>
    </row>
    <row r="457">
      <c r="C457" s="72"/>
    </row>
    <row r="458">
      <c r="C458" s="72"/>
    </row>
    <row r="459">
      <c r="C459" s="72"/>
    </row>
    <row r="460">
      <c r="C460" s="72"/>
    </row>
    <row r="461">
      <c r="C461" s="72"/>
    </row>
    <row r="462">
      <c r="C462" s="72"/>
    </row>
    <row r="463">
      <c r="C463" s="72"/>
    </row>
    <row r="464">
      <c r="C464" s="72"/>
    </row>
    <row r="465">
      <c r="C465" s="72"/>
    </row>
    <row r="466">
      <c r="C466" s="72"/>
    </row>
    <row r="467">
      <c r="C467" s="72"/>
    </row>
    <row r="468">
      <c r="C468" s="72"/>
    </row>
    <row r="469">
      <c r="C469" s="72"/>
    </row>
    <row r="470">
      <c r="C470" s="72"/>
    </row>
    <row r="471">
      <c r="C471" s="72"/>
    </row>
    <row r="472">
      <c r="C472" s="72"/>
    </row>
    <row r="473">
      <c r="C473" s="72"/>
    </row>
    <row r="474">
      <c r="C474" s="72"/>
    </row>
    <row r="475">
      <c r="C475" s="72"/>
    </row>
    <row r="476">
      <c r="C476" s="72"/>
    </row>
    <row r="477">
      <c r="C477" s="72"/>
    </row>
    <row r="478">
      <c r="C478" s="72"/>
    </row>
    <row r="479">
      <c r="C479" s="72"/>
    </row>
    <row r="480">
      <c r="C480" s="72"/>
    </row>
    <row r="481">
      <c r="C481" s="72"/>
    </row>
    <row r="482">
      <c r="C482" s="72"/>
    </row>
    <row r="483">
      <c r="C483" s="72"/>
    </row>
    <row r="484">
      <c r="C484" s="72"/>
    </row>
    <row r="485">
      <c r="C485" s="72"/>
    </row>
    <row r="486">
      <c r="C486" s="72"/>
    </row>
    <row r="487">
      <c r="C487" s="72"/>
    </row>
    <row r="488">
      <c r="C488" s="72"/>
    </row>
    <row r="489">
      <c r="C489" s="72"/>
    </row>
    <row r="490">
      <c r="C490" s="72"/>
    </row>
    <row r="491">
      <c r="C491" s="72"/>
    </row>
    <row r="492">
      <c r="C492" s="72"/>
    </row>
    <row r="493">
      <c r="C493" s="72"/>
    </row>
    <row r="494">
      <c r="C494" s="72"/>
    </row>
    <row r="495">
      <c r="C495" s="72"/>
    </row>
    <row r="496">
      <c r="C496" s="72"/>
    </row>
    <row r="497">
      <c r="C497" s="72"/>
    </row>
    <row r="498">
      <c r="C498" s="72"/>
    </row>
    <row r="499">
      <c r="C499" s="72"/>
    </row>
    <row r="500">
      <c r="C500" s="72"/>
    </row>
    <row r="501">
      <c r="C501" s="72"/>
    </row>
    <row r="502">
      <c r="C502" s="72"/>
    </row>
    <row r="503">
      <c r="C503" s="72"/>
    </row>
    <row r="504">
      <c r="C504" s="72"/>
    </row>
    <row r="505">
      <c r="C505" s="72"/>
    </row>
    <row r="506">
      <c r="C506" s="72"/>
    </row>
    <row r="507">
      <c r="C507" s="72"/>
    </row>
    <row r="508">
      <c r="C508" s="72"/>
    </row>
    <row r="509">
      <c r="C509" s="72"/>
    </row>
    <row r="510">
      <c r="C510" s="72"/>
    </row>
    <row r="511">
      <c r="C511" s="72"/>
    </row>
    <row r="512">
      <c r="C512" s="72"/>
    </row>
    <row r="513">
      <c r="C513" s="72"/>
    </row>
    <row r="514">
      <c r="C514" s="72"/>
    </row>
    <row r="515">
      <c r="C515" s="72"/>
    </row>
    <row r="516">
      <c r="C516" s="72"/>
    </row>
    <row r="517">
      <c r="C517" s="72"/>
    </row>
    <row r="518">
      <c r="C518" s="72"/>
    </row>
    <row r="519">
      <c r="C519" s="72"/>
    </row>
    <row r="520">
      <c r="C520" s="72"/>
    </row>
    <row r="521">
      <c r="C521" s="72"/>
    </row>
    <row r="522">
      <c r="C522" s="72"/>
    </row>
    <row r="523">
      <c r="C523" s="72"/>
    </row>
    <row r="524">
      <c r="C524" s="72"/>
    </row>
    <row r="525">
      <c r="C525" s="72"/>
    </row>
    <row r="526">
      <c r="C526" s="72"/>
    </row>
    <row r="527">
      <c r="C527" s="72"/>
    </row>
    <row r="528">
      <c r="C528" s="72"/>
    </row>
    <row r="529">
      <c r="C529" s="72"/>
    </row>
    <row r="530">
      <c r="C530" s="72"/>
    </row>
    <row r="531">
      <c r="C531" s="72"/>
    </row>
    <row r="532">
      <c r="C532" s="72"/>
    </row>
    <row r="533">
      <c r="C533" s="72"/>
    </row>
    <row r="534">
      <c r="C534" s="72"/>
    </row>
    <row r="535">
      <c r="C535" s="72"/>
    </row>
    <row r="536">
      <c r="C536" s="72"/>
    </row>
    <row r="537">
      <c r="C537" s="72"/>
    </row>
    <row r="538">
      <c r="C538" s="72"/>
    </row>
    <row r="539">
      <c r="C539" s="72"/>
    </row>
    <row r="540">
      <c r="C540" s="72"/>
    </row>
    <row r="541">
      <c r="C541" s="72"/>
    </row>
    <row r="542">
      <c r="C542" s="72"/>
    </row>
    <row r="543">
      <c r="C543" s="72"/>
    </row>
    <row r="544">
      <c r="C544" s="72"/>
    </row>
    <row r="545">
      <c r="C545" s="72"/>
    </row>
    <row r="546">
      <c r="C546" s="72"/>
    </row>
    <row r="547">
      <c r="C547" s="72"/>
    </row>
    <row r="548">
      <c r="C548" s="72"/>
    </row>
    <row r="549">
      <c r="C549" s="72"/>
    </row>
    <row r="550">
      <c r="C550" s="72"/>
    </row>
    <row r="551">
      <c r="C551" s="72"/>
    </row>
    <row r="552">
      <c r="C552" s="72"/>
    </row>
    <row r="553">
      <c r="C553" s="72"/>
    </row>
    <row r="554">
      <c r="C554" s="72"/>
    </row>
    <row r="555">
      <c r="C555" s="72"/>
    </row>
    <row r="556">
      <c r="C556" s="72"/>
    </row>
    <row r="557">
      <c r="C557" s="72"/>
    </row>
    <row r="558">
      <c r="C558" s="72"/>
    </row>
    <row r="559">
      <c r="C559" s="72"/>
    </row>
    <row r="560">
      <c r="C560" s="72"/>
    </row>
    <row r="561">
      <c r="C561" s="72"/>
    </row>
    <row r="562">
      <c r="C562" s="72"/>
    </row>
    <row r="563">
      <c r="C563" s="72"/>
    </row>
    <row r="564">
      <c r="C564" s="72"/>
    </row>
    <row r="565">
      <c r="C565" s="72"/>
    </row>
    <row r="566">
      <c r="C566" s="72"/>
    </row>
    <row r="567">
      <c r="C567" s="72"/>
    </row>
    <row r="568">
      <c r="C568" s="72"/>
    </row>
    <row r="569">
      <c r="C569" s="72"/>
    </row>
    <row r="570">
      <c r="C570" s="72"/>
    </row>
    <row r="571">
      <c r="C571" s="72"/>
    </row>
    <row r="572">
      <c r="C572" s="72"/>
    </row>
    <row r="573">
      <c r="C573" s="72"/>
    </row>
    <row r="574">
      <c r="C574" s="72"/>
    </row>
    <row r="575">
      <c r="C575" s="72"/>
    </row>
    <row r="576">
      <c r="C576" s="72"/>
    </row>
    <row r="577">
      <c r="C577" s="72"/>
    </row>
    <row r="578">
      <c r="C578" s="72"/>
    </row>
    <row r="579">
      <c r="C579" s="72"/>
    </row>
    <row r="580">
      <c r="C580" s="72"/>
    </row>
    <row r="581">
      <c r="C581" s="72"/>
    </row>
    <row r="582">
      <c r="C582" s="72"/>
    </row>
    <row r="583">
      <c r="C583" s="72"/>
    </row>
    <row r="584">
      <c r="C584" s="72"/>
    </row>
    <row r="585">
      <c r="C585" s="72"/>
    </row>
    <row r="586">
      <c r="C586" s="72"/>
    </row>
    <row r="587">
      <c r="C587" s="72"/>
    </row>
    <row r="588">
      <c r="C588" s="72"/>
    </row>
    <row r="589">
      <c r="C589" s="72"/>
    </row>
    <row r="590">
      <c r="C590" s="72"/>
    </row>
    <row r="591">
      <c r="C591" s="72"/>
    </row>
    <row r="592">
      <c r="C592" s="72"/>
    </row>
    <row r="593">
      <c r="C593" s="72"/>
    </row>
    <row r="594">
      <c r="C594" s="72"/>
    </row>
    <row r="595">
      <c r="C595" s="72"/>
    </row>
    <row r="596">
      <c r="C596" s="72"/>
    </row>
    <row r="597">
      <c r="C597" s="72"/>
    </row>
    <row r="598">
      <c r="C598" s="72"/>
    </row>
    <row r="599">
      <c r="C599" s="72"/>
    </row>
    <row r="600">
      <c r="C600" s="72"/>
    </row>
    <row r="601">
      <c r="C601" s="72"/>
    </row>
    <row r="602">
      <c r="C602" s="72"/>
    </row>
    <row r="603">
      <c r="C603" s="72"/>
    </row>
    <row r="604">
      <c r="C604" s="72"/>
    </row>
    <row r="605">
      <c r="C605" s="72"/>
    </row>
    <row r="606">
      <c r="C606" s="72"/>
    </row>
    <row r="607">
      <c r="C607" s="72"/>
    </row>
    <row r="608">
      <c r="C608" s="72"/>
    </row>
    <row r="609">
      <c r="C609" s="72"/>
    </row>
    <row r="610">
      <c r="C610" s="72"/>
    </row>
    <row r="611">
      <c r="C611" s="72"/>
    </row>
    <row r="612">
      <c r="C612" s="72"/>
    </row>
    <row r="613">
      <c r="C613" s="72"/>
    </row>
    <row r="614">
      <c r="C614" s="72"/>
    </row>
    <row r="615">
      <c r="C615" s="72"/>
    </row>
    <row r="616">
      <c r="C616" s="72"/>
    </row>
    <row r="617">
      <c r="C617" s="72"/>
    </row>
    <row r="618">
      <c r="C618" s="72"/>
    </row>
    <row r="619">
      <c r="C619" s="72"/>
    </row>
    <row r="620">
      <c r="C620" s="72"/>
    </row>
    <row r="621">
      <c r="C621" s="72"/>
    </row>
    <row r="622">
      <c r="C622" s="72"/>
    </row>
    <row r="623">
      <c r="C623" s="72"/>
    </row>
    <row r="624">
      <c r="C624" s="72"/>
    </row>
    <row r="625">
      <c r="C625" s="72"/>
    </row>
    <row r="626">
      <c r="C626" s="72"/>
    </row>
    <row r="627">
      <c r="C627" s="72"/>
    </row>
    <row r="628">
      <c r="C628" s="72"/>
    </row>
    <row r="629">
      <c r="C629" s="72"/>
    </row>
    <row r="630">
      <c r="C630" s="72"/>
    </row>
    <row r="631">
      <c r="C631" s="72"/>
    </row>
    <row r="632">
      <c r="C632" s="72"/>
    </row>
    <row r="633">
      <c r="C633" s="72"/>
    </row>
    <row r="634">
      <c r="C634" s="72"/>
    </row>
    <row r="635">
      <c r="C635" s="72"/>
    </row>
    <row r="636">
      <c r="C636" s="72"/>
    </row>
    <row r="637">
      <c r="C637" s="72"/>
    </row>
    <row r="638">
      <c r="C638" s="72"/>
    </row>
    <row r="639">
      <c r="C639" s="72"/>
    </row>
    <row r="640">
      <c r="C640" s="72"/>
    </row>
    <row r="641">
      <c r="C641" s="72"/>
    </row>
    <row r="642">
      <c r="C642" s="72"/>
    </row>
    <row r="643">
      <c r="C643" s="72"/>
    </row>
    <row r="644">
      <c r="C644" s="72"/>
    </row>
    <row r="645">
      <c r="C645" s="72"/>
    </row>
    <row r="646">
      <c r="C646" s="72"/>
    </row>
    <row r="647">
      <c r="C647" s="72"/>
    </row>
    <row r="648">
      <c r="C648" s="72"/>
    </row>
    <row r="649">
      <c r="C649" s="72"/>
    </row>
    <row r="650">
      <c r="C650" s="72"/>
    </row>
    <row r="651">
      <c r="C651" s="72"/>
    </row>
    <row r="652">
      <c r="C652" s="72"/>
    </row>
    <row r="653">
      <c r="C653" s="72"/>
    </row>
    <row r="654">
      <c r="C654" s="72"/>
    </row>
    <row r="655">
      <c r="C655" s="72"/>
    </row>
    <row r="656">
      <c r="C656" s="72"/>
    </row>
    <row r="657">
      <c r="C657" s="72"/>
    </row>
    <row r="658">
      <c r="C658" s="72"/>
    </row>
    <row r="659">
      <c r="C659" s="72"/>
    </row>
    <row r="660">
      <c r="C660" s="72"/>
    </row>
    <row r="661">
      <c r="C661" s="72"/>
    </row>
    <row r="662">
      <c r="C662" s="72"/>
    </row>
    <row r="663">
      <c r="C663" s="72"/>
    </row>
    <row r="664">
      <c r="C664" s="72"/>
    </row>
    <row r="665">
      <c r="C665" s="72"/>
    </row>
    <row r="666">
      <c r="C666" s="72"/>
    </row>
    <row r="667">
      <c r="C667" s="72"/>
    </row>
    <row r="668">
      <c r="C668" s="72"/>
    </row>
    <row r="669">
      <c r="C669" s="72"/>
    </row>
    <row r="670">
      <c r="C670" s="72"/>
    </row>
    <row r="671">
      <c r="C671" s="72"/>
    </row>
    <row r="672">
      <c r="C672" s="72"/>
    </row>
    <row r="673">
      <c r="C673" s="72"/>
    </row>
    <row r="674">
      <c r="C674" s="72"/>
    </row>
    <row r="675">
      <c r="C675" s="72"/>
    </row>
    <row r="676">
      <c r="C676" s="72"/>
    </row>
    <row r="677">
      <c r="C677" s="72"/>
    </row>
    <row r="678">
      <c r="C678" s="72"/>
    </row>
    <row r="679">
      <c r="C679" s="72"/>
    </row>
    <row r="680">
      <c r="C680" s="72"/>
    </row>
    <row r="681">
      <c r="C681" s="72"/>
    </row>
    <row r="682">
      <c r="C682" s="72"/>
    </row>
    <row r="683">
      <c r="C683" s="72"/>
    </row>
    <row r="684">
      <c r="C684" s="72"/>
    </row>
    <row r="685">
      <c r="C685" s="72"/>
    </row>
    <row r="686">
      <c r="C686" s="72"/>
    </row>
    <row r="687">
      <c r="C687" s="72"/>
    </row>
    <row r="688">
      <c r="C688" s="72"/>
    </row>
    <row r="689">
      <c r="C689" s="72"/>
    </row>
    <row r="690">
      <c r="C690" s="72"/>
    </row>
    <row r="691">
      <c r="C691" s="72"/>
    </row>
    <row r="692">
      <c r="C692" s="72"/>
    </row>
    <row r="693">
      <c r="C693" s="72"/>
    </row>
    <row r="694">
      <c r="C694" s="72"/>
    </row>
    <row r="695">
      <c r="C695" s="72"/>
    </row>
    <row r="696">
      <c r="C696" s="72"/>
    </row>
    <row r="697">
      <c r="C697" s="72"/>
    </row>
    <row r="698">
      <c r="C698" s="72"/>
    </row>
    <row r="699">
      <c r="C699" s="72"/>
    </row>
    <row r="700">
      <c r="C700" s="72"/>
    </row>
    <row r="701">
      <c r="C701" s="72"/>
    </row>
    <row r="702">
      <c r="C702" s="72"/>
    </row>
    <row r="703">
      <c r="C703" s="72"/>
    </row>
    <row r="704">
      <c r="C704" s="72"/>
    </row>
    <row r="705">
      <c r="C705" s="72"/>
    </row>
    <row r="706">
      <c r="C706" s="72"/>
    </row>
    <row r="707">
      <c r="C707" s="72"/>
    </row>
    <row r="708">
      <c r="C708" s="72"/>
    </row>
    <row r="709">
      <c r="C709" s="72"/>
    </row>
    <row r="710">
      <c r="C710" s="72"/>
    </row>
    <row r="711">
      <c r="C711" s="72"/>
    </row>
    <row r="712">
      <c r="C712" s="72"/>
    </row>
    <row r="713">
      <c r="C713" s="72"/>
    </row>
    <row r="714">
      <c r="C714" s="72"/>
    </row>
    <row r="715">
      <c r="C715" s="72"/>
    </row>
    <row r="716">
      <c r="C716" s="72"/>
    </row>
    <row r="717">
      <c r="C717" s="72"/>
    </row>
    <row r="718">
      <c r="C718" s="72"/>
    </row>
    <row r="719">
      <c r="C719" s="72"/>
    </row>
    <row r="720">
      <c r="C720" s="72"/>
    </row>
    <row r="721">
      <c r="C721" s="72"/>
    </row>
    <row r="722">
      <c r="C722" s="72"/>
    </row>
    <row r="723">
      <c r="C723" s="72"/>
    </row>
    <row r="724">
      <c r="C724" s="72"/>
    </row>
    <row r="725">
      <c r="C725" s="72"/>
    </row>
    <row r="726">
      <c r="C726" s="72"/>
    </row>
    <row r="727">
      <c r="C727" s="72"/>
    </row>
    <row r="728">
      <c r="C728" s="72"/>
    </row>
    <row r="729">
      <c r="C729" s="72"/>
    </row>
    <row r="730">
      <c r="C730" s="72"/>
    </row>
    <row r="731">
      <c r="C731" s="72"/>
    </row>
    <row r="732">
      <c r="C732" s="72"/>
    </row>
    <row r="733">
      <c r="C733" s="72"/>
    </row>
    <row r="734">
      <c r="C734" s="72"/>
    </row>
    <row r="735">
      <c r="C735" s="72"/>
    </row>
    <row r="736">
      <c r="C736" s="72"/>
    </row>
    <row r="737">
      <c r="C737" s="72"/>
    </row>
    <row r="738">
      <c r="C738" s="72"/>
    </row>
    <row r="739">
      <c r="C739" s="72"/>
    </row>
    <row r="740">
      <c r="C740" s="72"/>
    </row>
    <row r="741">
      <c r="C741" s="72"/>
    </row>
    <row r="742">
      <c r="C742" s="72"/>
    </row>
    <row r="743">
      <c r="C743" s="72"/>
    </row>
    <row r="744">
      <c r="C744" s="72"/>
    </row>
    <row r="745">
      <c r="C745" s="72"/>
    </row>
    <row r="746">
      <c r="C746" s="72"/>
    </row>
    <row r="747">
      <c r="C747" s="72"/>
    </row>
    <row r="748">
      <c r="C748" s="72"/>
    </row>
    <row r="749">
      <c r="C749" s="72"/>
    </row>
    <row r="750">
      <c r="C750" s="72"/>
    </row>
    <row r="751">
      <c r="C751" s="72"/>
    </row>
    <row r="752">
      <c r="C752" s="72"/>
    </row>
    <row r="753">
      <c r="C753" s="72"/>
    </row>
    <row r="754">
      <c r="C754" s="72"/>
    </row>
    <row r="755">
      <c r="C755" s="72"/>
    </row>
    <row r="756">
      <c r="C756" s="72"/>
    </row>
    <row r="757">
      <c r="C757" s="72"/>
    </row>
    <row r="758">
      <c r="C758" s="72"/>
    </row>
    <row r="759">
      <c r="C759" s="72"/>
    </row>
    <row r="760">
      <c r="C760" s="72"/>
    </row>
    <row r="761">
      <c r="C761" s="72"/>
    </row>
    <row r="762">
      <c r="C762" s="72"/>
    </row>
    <row r="763">
      <c r="C763" s="72"/>
    </row>
    <row r="764">
      <c r="C764" s="72"/>
    </row>
    <row r="765">
      <c r="C765" s="72"/>
    </row>
    <row r="766">
      <c r="C766" s="72"/>
    </row>
    <row r="767">
      <c r="C767" s="72"/>
    </row>
    <row r="768">
      <c r="C768" s="72"/>
    </row>
    <row r="769">
      <c r="C769" s="72"/>
    </row>
    <row r="770">
      <c r="C770" s="72"/>
    </row>
    <row r="771">
      <c r="C771" s="72"/>
    </row>
    <row r="772">
      <c r="C772" s="72"/>
    </row>
    <row r="773">
      <c r="C773" s="72"/>
    </row>
    <row r="774">
      <c r="C774" s="72"/>
    </row>
    <row r="775">
      <c r="C775" s="72"/>
    </row>
    <row r="776">
      <c r="C776" s="72"/>
    </row>
    <row r="777">
      <c r="C777" s="72"/>
    </row>
    <row r="778">
      <c r="C778" s="72"/>
    </row>
    <row r="779">
      <c r="C779" s="72"/>
    </row>
    <row r="780">
      <c r="C780" s="72"/>
    </row>
    <row r="781">
      <c r="C781" s="72"/>
    </row>
    <row r="782">
      <c r="C782" s="72"/>
    </row>
    <row r="783">
      <c r="C783" s="72"/>
    </row>
    <row r="784">
      <c r="C784" s="72"/>
    </row>
    <row r="785">
      <c r="C785" s="72"/>
    </row>
    <row r="786">
      <c r="C786" s="72"/>
    </row>
    <row r="787">
      <c r="C787" s="72"/>
    </row>
    <row r="788">
      <c r="C788" s="72"/>
    </row>
    <row r="789">
      <c r="C789" s="72"/>
    </row>
    <row r="790">
      <c r="C790" s="72"/>
    </row>
    <row r="791">
      <c r="C791" s="72"/>
    </row>
    <row r="792">
      <c r="C792" s="72"/>
    </row>
    <row r="793">
      <c r="C793" s="72"/>
    </row>
    <row r="794">
      <c r="C794" s="72"/>
    </row>
    <row r="795">
      <c r="C795" s="72"/>
    </row>
    <row r="796">
      <c r="C796" s="72"/>
    </row>
    <row r="797">
      <c r="C797" s="72"/>
    </row>
    <row r="798">
      <c r="C798" s="72"/>
    </row>
    <row r="799">
      <c r="C799" s="72"/>
    </row>
    <row r="800">
      <c r="C800" s="72"/>
    </row>
    <row r="801">
      <c r="C801" s="72"/>
    </row>
    <row r="802">
      <c r="C802" s="72"/>
    </row>
    <row r="803">
      <c r="C803" s="72"/>
    </row>
    <row r="804">
      <c r="C804" s="72"/>
    </row>
    <row r="805">
      <c r="C805" s="72"/>
    </row>
    <row r="806">
      <c r="C806" s="72"/>
    </row>
    <row r="807">
      <c r="C807" s="72"/>
    </row>
    <row r="808">
      <c r="C808" s="72"/>
    </row>
    <row r="809">
      <c r="C809" s="72"/>
    </row>
    <row r="810">
      <c r="C810" s="72"/>
    </row>
    <row r="811">
      <c r="C811" s="72"/>
    </row>
    <row r="812">
      <c r="C812" s="72"/>
    </row>
    <row r="813">
      <c r="C813" s="72"/>
    </row>
    <row r="814">
      <c r="C814" s="72"/>
    </row>
    <row r="815">
      <c r="C815" s="72"/>
    </row>
    <row r="816">
      <c r="C816" s="72"/>
    </row>
    <row r="817">
      <c r="C817" s="72"/>
    </row>
    <row r="818">
      <c r="C818" s="72"/>
    </row>
    <row r="819">
      <c r="C819" s="72"/>
    </row>
    <row r="820">
      <c r="C820" s="72"/>
    </row>
    <row r="821">
      <c r="C821" s="72"/>
    </row>
    <row r="822">
      <c r="C822" s="72"/>
    </row>
    <row r="823">
      <c r="C823" s="72"/>
    </row>
    <row r="824">
      <c r="C824" s="72"/>
    </row>
    <row r="825">
      <c r="C825" s="72"/>
    </row>
    <row r="826">
      <c r="C826" s="72"/>
    </row>
    <row r="827">
      <c r="C827" s="72"/>
    </row>
    <row r="828">
      <c r="C828" s="72"/>
    </row>
    <row r="829">
      <c r="C829" s="72"/>
    </row>
    <row r="830">
      <c r="C830" s="72"/>
    </row>
    <row r="831">
      <c r="C831" s="72"/>
    </row>
    <row r="832">
      <c r="C832" s="72"/>
    </row>
    <row r="833">
      <c r="C833" s="72"/>
    </row>
    <row r="834">
      <c r="C834" s="72"/>
    </row>
    <row r="835">
      <c r="C835" s="72"/>
    </row>
    <row r="836">
      <c r="C836" s="72"/>
    </row>
    <row r="837">
      <c r="C837" s="72"/>
    </row>
    <row r="838">
      <c r="C838" s="72"/>
    </row>
    <row r="839">
      <c r="C839" s="72"/>
    </row>
    <row r="840">
      <c r="C840" s="72"/>
    </row>
    <row r="841">
      <c r="C841" s="72"/>
    </row>
    <row r="842">
      <c r="C842" s="72"/>
    </row>
    <row r="843">
      <c r="C843" s="72"/>
    </row>
    <row r="844">
      <c r="C844" s="72"/>
    </row>
    <row r="845">
      <c r="C845" s="72"/>
    </row>
    <row r="846">
      <c r="C846" s="72"/>
    </row>
    <row r="847">
      <c r="C847" s="72"/>
    </row>
    <row r="848">
      <c r="C848" s="72"/>
    </row>
    <row r="849">
      <c r="C849" s="72"/>
    </row>
    <row r="850">
      <c r="C850" s="72"/>
    </row>
    <row r="851">
      <c r="C851" s="72"/>
    </row>
    <row r="852">
      <c r="C852" s="72"/>
    </row>
    <row r="853">
      <c r="C853" s="72"/>
    </row>
    <row r="854">
      <c r="C854" s="72"/>
    </row>
    <row r="855">
      <c r="C855" s="72"/>
    </row>
    <row r="856">
      <c r="C856" s="72"/>
    </row>
    <row r="857">
      <c r="C857" s="72"/>
    </row>
    <row r="858">
      <c r="C858" s="72"/>
    </row>
    <row r="859">
      <c r="C859" s="72"/>
    </row>
    <row r="860">
      <c r="C860" s="72"/>
    </row>
    <row r="861">
      <c r="C861" s="72"/>
    </row>
    <row r="862">
      <c r="C862" s="72"/>
    </row>
    <row r="863">
      <c r="C863" s="72"/>
    </row>
    <row r="864">
      <c r="C864" s="72"/>
    </row>
    <row r="865">
      <c r="C865" s="72"/>
    </row>
    <row r="866">
      <c r="C866" s="72"/>
    </row>
    <row r="867">
      <c r="C867" s="72"/>
    </row>
    <row r="868">
      <c r="C868" s="72"/>
    </row>
    <row r="869">
      <c r="C869" s="72"/>
    </row>
    <row r="870">
      <c r="C870" s="72"/>
    </row>
    <row r="871">
      <c r="C871" s="72"/>
    </row>
    <row r="872">
      <c r="C872" s="72"/>
    </row>
    <row r="873">
      <c r="C873" s="72"/>
    </row>
    <row r="874">
      <c r="C874" s="72"/>
    </row>
    <row r="875">
      <c r="C875" s="72"/>
    </row>
    <row r="876">
      <c r="C876" s="72"/>
    </row>
    <row r="877">
      <c r="C877" s="72"/>
    </row>
    <row r="878">
      <c r="C878" s="72"/>
    </row>
    <row r="879">
      <c r="C879" s="72"/>
    </row>
    <row r="880">
      <c r="C880" s="72"/>
    </row>
    <row r="881">
      <c r="C881" s="72"/>
    </row>
    <row r="882">
      <c r="C882" s="72"/>
    </row>
    <row r="883">
      <c r="C883" s="72"/>
    </row>
    <row r="884">
      <c r="C884" s="72"/>
    </row>
    <row r="885">
      <c r="C885" s="72"/>
    </row>
    <row r="886">
      <c r="C886" s="72"/>
    </row>
    <row r="887">
      <c r="C887" s="72"/>
    </row>
    <row r="888">
      <c r="C888" s="72"/>
    </row>
    <row r="889">
      <c r="C889" s="72"/>
    </row>
    <row r="890">
      <c r="C890" s="72"/>
    </row>
    <row r="891">
      <c r="C891" s="72"/>
    </row>
    <row r="892">
      <c r="C892" s="72"/>
    </row>
    <row r="893">
      <c r="C893" s="72"/>
    </row>
    <row r="894">
      <c r="C894" s="72"/>
    </row>
    <row r="895">
      <c r="C895" s="72"/>
    </row>
    <row r="896">
      <c r="C896" s="72"/>
    </row>
    <row r="897">
      <c r="C897" s="72"/>
    </row>
    <row r="898">
      <c r="C898" s="72"/>
    </row>
    <row r="899">
      <c r="C899" s="72"/>
    </row>
    <row r="900">
      <c r="C900" s="72"/>
    </row>
    <row r="901">
      <c r="C901" s="72"/>
    </row>
    <row r="902">
      <c r="C902" s="72"/>
    </row>
    <row r="903">
      <c r="C903" s="72"/>
    </row>
    <row r="904">
      <c r="C904" s="72"/>
    </row>
    <row r="905">
      <c r="C905" s="72"/>
    </row>
    <row r="906">
      <c r="C906" s="72"/>
    </row>
    <row r="907">
      <c r="C907" s="72"/>
    </row>
    <row r="908">
      <c r="C908" s="72"/>
    </row>
    <row r="909">
      <c r="C909" s="72"/>
    </row>
    <row r="910">
      <c r="C910" s="72"/>
    </row>
    <row r="911">
      <c r="C911" s="72"/>
    </row>
    <row r="912">
      <c r="C912" s="72"/>
    </row>
    <row r="913">
      <c r="C913" s="72"/>
    </row>
    <row r="914">
      <c r="C914" s="72"/>
    </row>
    <row r="915">
      <c r="C915" s="72"/>
    </row>
    <row r="916">
      <c r="C916" s="72"/>
    </row>
    <row r="917">
      <c r="C917" s="72"/>
    </row>
    <row r="918">
      <c r="C918" s="72"/>
    </row>
    <row r="919">
      <c r="C919" s="72"/>
    </row>
    <row r="920">
      <c r="C920" s="72"/>
    </row>
    <row r="921">
      <c r="C921" s="72"/>
    </row>
    <row r="922">
      <c r="C922" s="72"/>
    </row>
    <row r="923">
      <c r="C923" s="72"/>
    </row>
    <row r="924">
      <c r="C924" s="72"/>
    </row>
    <row r="925">
      <c r="C925" s="72"/>
    </row>
    <row r="926">
      <c r="C926" s="72"/>
    </row>
    <row r="927">
      <c r="C927" s="72"/>
    </row>
    <row r="928">
      <c r="C928" s="72"/>
    </row>
    <row r="929">
      <c r="C929" s="72"/>
    </row>
    <row r="930">
      <c r="C930" s="72"/>
    </row>
    <row r="931">
      <c r="C931" s="72"/>
    </row>
    <row r="932">
      <c r="C932" s="72"/>
    </row>
    <row r="933">
      <c r="C933" s="72"/>
    </row>
    <row r="934">
      <c r="C934" s="72"/>
    </row>
    <row r="935">
      <c r="C935" s="72"/>
    </row>
    <row r="936">
      <c r="C936" s="72"/>
    </row>
    <row r="937">
      <c r="C937" s="72"/>
    </row>
    <row r="938">
      <c r="C938" s="72"/>
    </row>
    <row r="939">
      <c r="C939" s="72"/>
    </row>
    <row r="940">
      <c r="C940" s="72"/>
    </row>
    <row r="941">
      <c r="C941" s="72"/>
    </row>
    <row r="942">
      <c r="C942" s="72"/>
    </row>
    <row r="943">
      <c r="C943" s="72"/>
    </row>
    <row r="944">
      <c r="C944" s="72"/>
    </row>
    <row r="945">
      <c r="C945" s="72"/>
    </row>
    <row r="946">
      <c r="C946" s="72"/>
    </row>
    <row r="947">
      <c r="C947" s="72"/>
    </row>
    <row r="948">
      <c r="C948" s="72"/>
    </row>
    <row r="949">
      <c r="C949" s="72"/>
    </row>
    <row r="950">
      <c r="C950" s="72"/>
    </row>
    <row r="951">
      <c r="C951" s="72"/>
    </row>
    <row r="952">
      <c r="C952" s="72"/>
    </row>
    <row r="953">
      <c r="C953" s="72"/>
    </row>
    <row r="954">
      <c r="C954" s="72"/>
    </row>
    <row r="955">
      <c r="C955" s="72"/>
    </row>
    <row r="956">
      <c r="C956" s="72"/>
    </row>
    <row r="957">
      <c r="C957" s="72"/>
    </row>
    <row r="958">
      <c r="C958" s="72"/>
    </row>
    <row r="959">
      <c r="C959" s="72"/>
    </row>
    <row r="960">
      <c r="C960" s="72"/>
    </row>
  </sheetData>
  <autoFilter ref="$A$2:$C$42"/>
  <drawing r:id="rId1"/>
</worksheet>
</file>